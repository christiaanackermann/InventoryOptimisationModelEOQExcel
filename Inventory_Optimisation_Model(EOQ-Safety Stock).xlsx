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81bead719b07886/Desktop/projectsorCV/Excel Projects/"/>
    </mc:Choice>
  </mc:AlternateContent>
  <xr:revisionPtr revIDLastSave="3" documentId="11_689DCC81872F7F7CD0CA4A842DCFF102D45C09A4" xr6:coauthVersionLast="47" xr6:coauthVersionMax="47" xr10:uidLastSave="{754544C6-01CF-442D-987D-FC5AFFED9600}"/>
  <bookViews>
    <workbookView xWindow="-120" yWindow="-120" windowWidth="29040" windowHeight="15720" activeTab="4" xr2:uid="{00000000-000D-0000-FFFF-FFFF00000000}"/>
  </bookViews>
  <sheets>
    <sheet name="Executive_Dashboard" sheetId="1" r:id="rId1"/>
    <sheet name="Assumptions_Sheet" sheetId="2" r:id="rId2"/>
    <sheet name="DataSetRaw" sheetId="3" r:id="rId3"/>
    <sheet name="SKUAnalysis" sheetId="4" r:id="rId4"/>
    <sheet name="Inventory_Model" sheetId="5" r:id="rId5"/>
    <sheet name="Baseline_EOQ_Analysis" sheetId="6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5" l="1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2" i="5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2" i="6"/>
  <c r="C39" i="6"/>
  <c r="C7" i="6"/>
  <c r="C4" i="6"/>
  <c r="L44" i="5"/>
  <c r="F44" i="5"/>
  <c r="M44" i="5" s="1"/>
  <c r="E44" i="5"/>
  <c r="L43" i="5"/>
  <c r="F43" i="5"/>
  <c r="M43" i="5" s="1"/>
  <c r="E43" i="5"/>
  <c r="L42" i="5"/>
  <c r="F42" i="5"/>
  <c r="M42" i="5" s="1"/>
  <c r="E42" i="5"/>
  <c r="L41" i="5"/>
  <c r="F41" i="5"/>
  <c r="M41" i="5" s="1"/>
  <c r="E41" i="5"/>
  <c r="L40" i="5"/>
  <c r="F40" i="5"/>
  <c r="M40" i="5" s="1"/>
  <c r="E40" i="5"/>
  <c r="L39" i="5"/>
  <c r="H39" i="5"/>
  <c r="K39" i="5" s="1"/>
  <c r="F39" i="5"/>
  <c r="M39" i="5" s="1"/>
  <c r="E39" i="5"/>
  <c r="L38" i="5"/>
  <c r="F38" i="5"/>
  <c r="M38" i="5" s="1"/>
  <c r="E38" i="5"/>
  <c r="L37" i="5"/>
  <c r="F37" i="5"/>
  <c r="M37" i="5" s="1"/>
  <c r="E37" i="5"/>
  <c r="L36" i="5"/>
  <c r="M36" i="5" s="1"/>
  <c r="H36" i="5"/>
  <c r="K36" i="5" s="1"/>
  <c r="F36" i="5"/>
  <c r="E36" i="5"/>
  <c r="C36" i="6" s="1"/>
  <c r="L35" i="5"/>
  <c r="F35" i="5"/>
  <c r="M35" i="5" s="1"/>
  <c r="E35" i="5"/>
  <c r="L34" i="5"/>
  <c r="F34" i="5"/>
  <c r="M34" i="5" s="1"/>
  <c r="E34" i="5"/>
  <c r="L33" i="5"/>
  <c r="M33" i="5" s="1"/>
  <c r="F33" i="5"/>
  <c r="E33" i="5"/>
  <c r="L32" i="5"/>
  <c r="F32" i="5"/>
  <c r="M32" i="5" s="1"/>
  <c r="E32" i="5"/>
  <c r="L31" i="5"/>
  <c r="F31" i="5"/>
  <c r="M31" i="5" s="1"/>
  <c r="E31" i="5"/>
  <c r="M30" i="5"/>
  <c r="L30" i="5"/>
  <c r="F30" i="5"/>
  <c r="E30" i="5"/>
  <c r="L29" i="5"/>
  <c r="F29" i="5"/>
  <c r="M29" i="5" s="1"/>
  <c r="E29" i="5"/>
  <c r="L28" i="5"/>
  <c r="F28" i="5"/>
  <c r="M28" i="5" s="1"/>
  <c r="E28" i="5"/>
  <c r="L27" i="5"/>
  <c r="F27" i="5"/>
  <c r="M27" i="5" s="1"/>
  <c r="E27" i="5"/>
  <c r="L26" i="5"/>
  <c r="F26" i="5"/>
  <c r="M26" i="5" s="1"/>
  <c r="E26" i="5"/>
  <c r="L25" i="5"/>
  <c r="F25" i="5"/>
  <c r="M25" i="5" s="1"/>
  <c r="E25" i="5"/>
  <c r="L24" i="5"/>
  <c r="F24" i="5"/>
  <c r="M24" i="5" s="1"/>
  <c r="E24" i="5"/>
  <c r="L23" i="5"/>
  <c r="F23" i="5"/>
  <c r="M23" i="5" s="1"/>
  <c r="E23" i="5"/>
  <c r="L22" i="5"/>
  <c r="F22" i="5"/>
  <c r="M22" i="5" s="1"/>
  <c r="E22" i="5"/>
  <c r="L21" i="5"/>
  <c r="F21" i="5"/>
  <c r="M21" i="5" s="1"/>
  <c r="E21" i="5"/>
  <c r="L20" i="5"/>
  <c r="F20" i="5"/>
  <c r="M20" i="5" s="1"/>
  <c r="E20" i="5"/>
  <c r="L19" i="5"/>
  <c r="F19" i="5"/>
  <c r="M19" i="5" s="1"/>
  <c r="E19" i="5"/>
  <c r="M18" i="5"/>
  <c r="L18" i="5"/>
  <c r="F18" i="5"/>
  <c r="E18" i="5"/>
  <c r="L17" i="5"/>
  <c r="F17" i="5"/>
  <c r="M17" i="5" s="1"/>
  <c r="E17" i="5"/>
  <c r="L16" i="5"/>
  <c r="F16" i="5"/>
  <c r="M16" i="5" s="1"/>
  <c r="E16" i="5"/>
  <c r="L15" i="5"/>
  <c r="F15" i="5"/>
  <c r="M15" i="5" s="1"/>
  <c r="E15" i="5"/>
  <c r="L14" i="5"/>
  <c r="F14" i="5"/>
  <c r="M14" i="5" s="1"/>
  <c r="E14" i="5"/>
  <c r="L13" i="5"/>
  <c r="F13" i="5"/>
  <c r="M13" i="5" s="1"/>
  <c r="E13" i="5"/>
  <c r="L12" i="5"/>
  <c r="F12" i="5"/>
  <c r="M12" i="5" s="1"/>
  <c r="E12" i="5"/>
  <c r="L11" i="5"/>
  <c r="F11" i="5"/>
  <c r="M11" i="5" s="1"/>
  <c r="E11" i="5"/>
  <c r="L10" i="5"/>
  <c r="H10" i="5"/>
  <c r="K10" i="5" s="1"/>
  <c r="F10" i="5"/>
  <c r="M10" i="5" s="1"/>
  <c r="E10" i="5"/>
  <c r="C10" i="6" s="1"/>
  <c r="L9" i="5"/>
  <c r="F9" i="5"/>
  <c r="M9" i="5" s="1"/>
  <c r="E9" i="5"/>
  <c r="L8" i="5"/>
  <c r="F8" i="5"/>
  <c r="M8" i="5" s="1"/>
  <c r="E8" i="5"/>
  <c r="L7" i="5"/>
  <c r="M7" i="5" s="1"/>
  <c r="H7" i="5"/>
  <c r="K7" i="5" s="1"/>
  <c r="F7" i="5"/>
  <c r="E7" i="5"/>
  <c r="L6" i="5"/>
  <c r="F6" i="5"/>
  <c r="M6" i="5" s="1"/>
  <c r="E6" i="5"/>
  <c r="L5" i="5"/>
  <c r="F5" i="5"/>
  <c r="M5" i="5" s="1"/>
  <c r="E5" i="5"/>
  <c r="L4" i="5"/>
  <c r="M4" i="5" s="1"/>
  <c r="F4" i="5"/>
  <c r="E4" i="5"/>
  <c r="H4" i="5" s="1"/>
  <c r="K4" i="5" s="1"/>
  <c r="L3" i="5"/>
  <c r="F3" i="5"/>
  <c r="M3" i="5" s="1"/>
  <c r="E3" i="5"/>
  <c r="L2" i="5"/>
  <c r="F2" i="5"/>
  <c r="M2" i="5" s="1"/>
  <c r="E2" i="5"/>
  <c r="B13" i="2"/>
  <c r="B12" i="2"/>
  <c r="B11" i="2"/>
  <c r="B7" i="2"/>
  <c r="B6" i="2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C44" i="6" l="1"/>
  <c r="H44" i="5"/>
  <c r="K44" i="5" s="1"/>
  <c r="C43" i="6"/>
  <c r="H43" i="5"/>
  <c r="K43" i="5" s="1"/>
  <c r="C42" i="6"/>
  <c r="H42" i="5"/>
  <c r="K42" i="5" s="1"/>
  <c r="C41" i="6"/>
  <c r="H41" i="5"/>
  <c r="K41" i="5" s="1"/>
  <c r="C40" i="6"/>
  <c r="H40" i="5"/>
  <c r="K40" i="5" s="1"/>
  <c r="N39" i="5"/>
  <c r="O39" i="5"/>
  <c r="C38" i="6"/>
  <c r="H38" i="5"/>
  <c r="K38" i="5" s="1"/>
  <c r="C37" i="6"/>
  <c r="H37" i="5"/>
  <c r="K37" i="5" s="1"/>
  <c r="N36" i="5"/>
  <c r="O36" i="5"/>
  <c r="H35" i="5"/>
  <c r="K35" i="5" s="1"/>
  <c r="C35" i="6"/>
  <c r="H34" i="5"/>
  <c r="K34" i="5" s="1"/>
  <c r="C34" i="6"/>
  <c r="C33" i="6"/>
  <c r="H33" i="5"/>
  <c r="K33" i="5" s="1"/>
  <c r="H32" i="5"/>
  <c r="K32" i="5" s="1"/>
  <c r="C32" i="6"/>
  <c r="H31" i="5"/>
  <c r="K31" i="5" s="1"/>
  <c r="C31" i="6"/>
  <c r="H30" i="5"/>
  <c r="K30" i="5" s="1"/>
  <c r="C30" i="6"/>
  <c r="H29" i="5"/>
  <c r="K29" i="5" s="1"/>
  <c r="C29" i="6"/>
  <c r="H28" i="5"/>
  <c r="K28" i="5" s="1"/>
  <c r="C28" i="6"/>
  <c r="C27" i="6"/>
  <c r="H27" i="5"/>
  <c r="K27" i="5" s="1"/>
  <c r="H26" i="5"/>
  <c r="K26" i="5" s="1"/>
  <c r="C26" i="6"/>
  <c r="H25" i="5"/>
  <c r="K25" i="5" s="1"/>
  <c r="C25" i="6"/>
  <c r="H24" i="5"/>
  <c r="K24" i="5" s="1"/>
  <c r="C24" i="6"/>
  <c r="H23" i="5"/>
  <c r="K23" i="5" s="1"/>
  <c r="C23" i="6"/>
  <c r="H22" i="5"/>
  <c r="K22" i="5" s="1"/>
  <c r="C22" i="6"/>
  <c r="C21" i="6"/>
  <c r="H21" i="5"/>
  <c r="K21" i="5" s="1"/>
  <c r="C20" i="6"/>
  <c r="H20" i="5"/>
  <c r="K20" i="5" s="1"/>
  <c r="H19" i="5"/>
  <c r="K19" i="5" s="1"/>
  <c r="C19" i="6"/>
  <c r="H18" i="5"/>
  <c r="K18" i="5" s="1"/>
  <c r="C18" i="6"/>
  <c r="H17" i="5"/>
  <c r="K17" i="5" s="1"/>
  <c r="C17" i="6"/>
  <c r="C16" i="6"/>
  <c r="H16" i="5"/>
  <c r="K16" i="5" s="1"/>
  <c r="H15" i="5"/>
  <c r="K15" i="5" s="1"/>
  <c r="C15" i="6"/>
  <c r="C14" i="6"/>
  <c r="H14" i="5"/>
  <c r="K14" i="5" s="1"/>
  <c r="C13" i="6"/>
  <c r="H13" i="5"/>
  <c r="K13" i="5" s="1"/>
  <c r="C12" i="6"/>
  <c r="H12" i="5"/>
  <c r="K12" i="5" s="1"/>
  <c r="C11" i="6"/>
  <c r="H11" i="5"/>
  <c r="K11" i="5" s="1"/>
  <c r="O10" i="5"/>
  <c r="N10" i="5"/>
  <c r="P10" i="5" s="1"/>
  <c r="C9" i="6"/>
  <c r="H9" i="5"/>
  <c r="K9" i="5" s="1"/>
  <c r="H8" i="5"/>
  <c r="K8" i="5" s="1"/>
  <c r="C8" i="6"/>
  <c r="N7" i="5"/>
  <c r="O7" i="5"/>
  <c r="H6" i="5"/>
  <c r="K6" i="5" s="1"/>
  <c r="C6" i="6"/>
  <c r="H5" i="5"/>
  <c r="K5" i="5" s="1"/>
  <c r="C5" i="6"/>
  <c r="N4" i="5"/>
  <c r="P4" i="5" s="1"/>
  <c r="O4" i="5"/>
  <c r="H3" i="5"/>
  <c r="K3" i="5" s="1"/>
  <c r="C3" i="6"/>
  <c r="H2" i="5"/>
  <c r="K2" i="5" s="1"/>
  <c r="C2" i="6"/>
  <c r="N44" i="5" l="1"/>
  <c r="P44" i="5" s="1"/>
  <c r="D44" i="6" s="1"/>
  <c r="E44" i="6" s="1"/>
  <c r="O44" i="5"/>
  <c r="N43" i="5"/>
  <c r="O43" i="5"/>
  <c r="N42" i="5"/>
  <c r="O42" i="5"/>
  <c r="N41" i="5"/>
  <c r="O41" i="5"/>
  <c r="N40" i="5"/>
  <c r="O40" i="5"/>
  <c r="N38" i="5"/>
  <c r="O38" i="5"/>
  <c r="O37" i="5"/>
  <c r="N37" i="5"/>
  <c r="P37" i="5" s="1"/>
  <c r="D37" i="6" s="1"/>
  <c r="E37" i="6" s="1"/>
  <c r="O35" i="5"/>
  <c r="N35" i="5"/>
  <c r="P35" i="5" s="1"/>
  <c r="D35" i="6" s="1"/>
  <c r="E35" i="6" s="1"/>
  <c r="O34" i="5"/>
  <c r="N34" i="5"/>
  <c r="P34" i="5" s="1"/>
  <c r="D34" i="6" s="1"/>
  <c r="E34" i="6" s="1"/>
  <c r="O33" i="5"/>
  <c r="N33" i="5"/>
  <c r="P33" i="5" s="1"/>
  <c r="D33" i="6" s="1"/>
  <c r="E33" i="6" s="1"/>
  <c r="N32" i="5"/>
  <c r="P32" i="5" s="1"/>
  <c r="D32" i="6" s="1"/>
  <c r="E32" i="6" s="1"/>
  <c r="O32" i="5"/>
  <c r="N31" i="5"/>
  <c r="O31" i="5"/>
  <c r="N30" i="5"/>
  <c r="O30" i="5"/>
  <c r="N29" i="5"/>
  <c r="O29" i="5"/>
  <c r="N28" i="5"/>
  <c r="O28" i="5"/>
  <c r="N27" i="5"/>
  <c r="O27" i="5"/>
  <c r="N26" i="5"/>
  <c r="O26" i="5"/>
  <c r="N25" i="5"/>
  <c r="O25" i="5"/>
  <c r="O24" i="5"/>
  <c r="N24" i="5"/>
  <c r="P24" i="5" s="1"/>
  <c r="D24" i="6" s="1"/>
  <c r="E24" i="6" s="1"/>
  <c r="N23" i="5"/>
  <c r="O23" i="5"/>
  <c r="O22" i="5"/>
  <c r="N22" i="5"/>
  <c r="P22" i="5" s="1"/>
  <c r="D22" i="6" s="1"/>
  <c r="E22" i="6" s="1"/>
  <c r="N21" i="5"/>
  <c r="O21" i="5"/>
  <c r="N20" i="5"/>
  <c r="P20" i="5" s="1"/>
  <c r="D20" i="6" s="1"/>
  <c r="E20" i="6" s="1"/>
  <c r="O20" i="5"/>
  <c r="O19" i="5"/>
  <c r="N19" i="5"/>
  <c r="O18" i="5"/>
  <c r="N18" i="5"/>
  <c r="P18" i="5" s="1"/>
  <c r="D18" i="6" s="1"/>
  <c r="E18" i="6" s="1"/>
  <c r="N17" i="5"/>
  <c r="O17" i="5"/>
  <c r="N16" i="5"/>
  <c r="O16" i="5"/>
  <c r="O15" i="5"/>
  <c r="N15" i="5"/>
  <c r="P15" i="5" s="1"/>
  <c r="D15" i="6" s="1"/>
  <c r="E15" i="6" s="1"/>
  <c r="N14" i="5"/>
  <c r="P14" i="5" s="1"/>
  <c r="D14" i="6" s="1"/>
  <c r="E14" i="6" s="1"/>
  <c r="O14" i="5"/>
  <c r="O13" i="5"/>
  <c r="N13" i="5"/>
  <c r="P13" i="5" s="1"/>
  <c r="D13" i="6" s="1"/>
  <c r="E13" i="6" s="1"/>
  <c r="N12" i="5"/>
  <c r="O12" i="5"/>
  <c r="N11" i="5"/>
  <c r="O11" i="5"/>
  <c r="D10" i="6"/>
  <c r="E10" i="6" s="1"/>
  <c r="B30" i="1"/>
  <c r="O9" i="5"/>
  <c r="N9" i="5"/>
  <c r="O8" i="5"/>
  <c r="N8" i="5"/>
  <c r="N6" i="5"/>
  <c r="P6" i="5" s="1"/>
  <c r="O6" i="5"/>
  <c r="N5" i="5"/>
  <c r="O5" i="5"/>
  <c r="D4" i="6"/>
  <c r="E4" i="6" s="1"/>
  <c r="B24" i="1"/>
  <c r="O3" i="5"/>
  <c r="N3" i="5"/>
  <c r="O2" i="5"/>
  <c r="N2" i="5"/>
  <c r="P39" i="5"/>
  <c r="D39" i="6" s="1"/>
  <c r="E39" i="6" s="1"/>
  <c r="P7" i="5"/>
  <c r="P36" i="5"/>
  <c r="D36" i="6" s="1"/>
  <c r="E36" i="6" s="1"/>
  <c r="D30" i="1" l="1"/>
  <c r="D6" i="6"/>
  <c r="E6" i="6" s="1"/>
  <c r="B26" i="1"/>
  <c r="D24" i="1"/>
  <c r="D7" i="6"/>
  <c r="E7" i="6" s="1"/>
  <c r="B27" i="1"/>
  <c r="P41" i="5"/>
  <c r="D41" i="6" s="1"/>
  <c r="E41" i="6" s="1"/>
  <c r="P40" i="5"/>
  <c r="D40" i="6" s="1"/>
  <c r="E40" i="6" s="1"/>
  <c r="P38" i="5"/>
  <c r="D38" i="6" s="1"/>
  <c r="E38" i="6" s="1"/>
  <c r="P43" i="5"/>
  <c r="D43" i="6" s="1"/>
  <c r="E43" i="6" s="1"/>
  <c r="P42" i="5"/>
  <c r="D42" i="6" s="1"/>
  <c r="E42" i="6" s="1"/>
  <c r="P31" i="5"/>
  <c r="D31" i="6" s="1"/>
  <c r="E31" i="6" s="1"/>
  <c r="P30" i="5"/>
  <c r="D30" i="6" s="1"/>
  <c r="E30" i="6" s="1"/>
  <c r="P29" i="5"/>
  <c r="D29" i="6" s="1"/>
  <c r="E29" i="6" s="1"/>
  <c r="P28" i="5"/>
  <c r="D28" i="6" s="1"/>
  <c r="E28" i="6" s="1"/>
  <c r="P27" i="5"/>
  <c r="D27" i="6" s="1"/>
  <c r="E27" i="6" s="1"/>
  <c r="P26" i="5"/>
  <c r="D26" i="6" s="1"/>
  <c r="E26" i="6" s="1"/>
  <c r="P25" i="5"/>
  <c r="D25" i="6" s="1"/>
  <c r="E25" i="6" s="1"/>
  <c r="P23" i="5"/>
  <c r="D23" i="6" s="1"/>
  <c r="E23" i="6" s="1"/>
  <c r="P21" i="5"/>
  <c r="D21" i="6" s="1"/>
  <c r="E21" i="6" s="1"/>
  <c r="P19" i="5"/>
  <c r="D19" i="6" s="1"/>
  <c r="E19" i="6" s="1"/>
  <c r="P17" i="5"/>
  <c r="D17" i="6" s="1"/>
  <c r="E17" i="6" s="1"/>
  <c r="P16" i="5"/>
  <c r="D16" i="6" s="1"/>
  <c r="E16" i="6" s="1"/>
  <c r="P12" i="5"/>
  <c r="P11" i="5"/>
  <c r="P9" i="5"/>
  <c r="P8" i="5"/>
  <c r="P5" i="5"/>
  <c r="P3" i="5"/>
  <c r="P2" i="5"/>
  <c r="D26" i="1" l="1"/>
  <c r="D27" i="1"/>
  <c r="D12" i="6"/>
  <c r="E12" i="6" s="1"/>
  <c r="B32" i="1"/>
  <c r="B31" i="1"/>
  <c r="D11" i="6"/>
  <c r="E11" i="6" s="1"/>
  <c r="B29" i="1"/>
  <c r="D9" i="6"/>
  <c r="E9" i="6" s="1"/>
  <c r="D8" i="6"/>
  <c r="E8" i="6" s="1"/>
  <c r="B28" i="1"/>
  <c r="B25" i="1"/>
  <c r="D5" i="6"/>
  <c r="E5" i="6" s="1"/>
  <c r="B23" i="1"/>
  <c r="D3" i="6"/>
  <c r="E3" i="6" s="1"/>
  <c r="Q14" i="5"/>
  <c r="Q7" i="5"/>
  <c r="B6" i="1"/>
  <c r="Q44" i="5"/>
  <c r="S44" i="5" s="1"/>
  <c r="Q38" i="5"/>
  <c r="Q35" i="5"/>
  <c r="Q32" i="5"/>
  <c r="Q31" i="5"/>
  <c r="S31" i="5" s="1"/>
  <c r="Q30" i="5"/>
  <c r="S30" i="5" s="1"/>
  <c r="Q28" i="5"/>
  <c r="Q27" i="5"/>
  <c r="Q26" i="5"/>
  <c r="Q25" i="5"/>
  <c r="Q24" i="5"/>
  <c r="Q22" i="5"/>
  <c r="S22" i="5" s="1"/>
  <c r="Q21" i="5"/>
  <c r="Q11" i="5"/>
  <c r="Q29" i="5"/>
  <c r="Q9" i="5"/>
  <c r="Q6" i="5"/>
  <c r="Q3" i="5"/>
  <c r="B22" i="1"/>
  <c r="D2" i="6"/>
  <c r="E2" i="6" s="1"/>
  <c r="Q43" i="5"/>
  <c r="S43" i="5" s="1"/>
  <c r="Q41" i="5"/>
  <c r="Q36" i="5"/>
  <c r="Q34" i="5"/>
  <c r="Q19" i="5"/>
  <c r="S19" i="5" s="1"/>
  <c r="Q18" i="5"/>
  <c r="Q17" i="5"/>
  <c r="Q15" i="5"/>
  <c r="Q13" i="5"/>
  <c r="Q4" i="5"/>
  <c r="Q2" i="5"/>
  <c r="Q42" i="5"/>
  <c r="S42" i="5" s="1"/>
  <c r="Q40" i="5"/>
  <c r="Q39" i="5"/>
  <c r="Q37" i="5"/>
  <c r="Q33" i="5"/>
  <c r="Q23" i="5"/>
  <c r="Q20" i="5"/>
  <c r="Q16" i="5"/>
  <c r="S16" i="5" s="1"/>
  <c r="Q12" i="5"/>
  <c r="Q10" i="5"/>
  <c r="Q8" i="5"/>
  <c r="Q5" i="5"/>
  <c r="D32" i="1" l="1"/>
  <c r="D31" i="1"/>
  <c r="D29" i="1"/>
  <c r="D28" i="1"/>
  <c r="D25" i="1"/>
  <c r="D23" i="1"/>
  <c r="B8" i="1"/>
  <c r="D22" i="1"/>
  <c r="B7" i="1"/>
  <c r="S28" i="5"/>
  <c r="S27" i="5"/>
  <c r="S26" i="5"/>
  <c r="S25" i="5"/>
  <c r="S24" i="5"/>
  <c r="S21" i="5"/>
  <c r="S36" i="5"/>
  <c r="S18" i="5"/>
  <c r="S4" i="5"/>
  <c r="C24" i="1" s="1"/>
  <c r="S2" i="5"/>
  <c r="S39" i="5"/>
  <c r="S20" i="5"/>
  <c r="S8" i="5"/>
  <c r="C28" i="1" s="1"/>
  <c r="S14" i="5"/>
  <c r="S35" i="5"/>
  <c r="S11" i="5"/>
  <c r="C31" i="1" s="1"/>
  <c r="S29" i="5"/>
  <c r="S9" i="5"/>
  <c r="C29" i="1" s="1"/>
  <c r="S6" i="5"/>
  <c r="C26" i="1" s="1"/>
  <c r="S41" i="5"/>
  <c r="S34" i="5"/>
  <c r="S17" i="5"/>
  <c r="S40" i="5"/>
  <c r="S37" i="5"/>
  <c r="S12" i="5"/>
  <c r="C32" i="1" s="1"/>
  <c r="S7" i="5"/>
  <c r="C27" i="1" s="1"/>
  <c r="S32" i="5"/>
  <c r="S3" i="5"/>
  <c r="C23" i="1" s="1"/>
  <c r="S10" i="5"/>
  <c r="C30" i="1" s="1"/>
  <c r="S15" i="5"/>
  <c r="S13" i="5"/>
  <c r="S23" i="5"/>
  <c r="S38" i="5"/>
  <c r="S33" i="5"/>
  <c r="S5" i="5"/>
  <c r="C25" i="1" s="1"/>
  <c r="B14" i="1" l="1"/>
  <c r="C22" i="1"/>
  <c r="B12" i="1"/>
  <c r="B13" i="1"/>
</calcChain>
</file>

<file path=xl/sharedStrings.xml><?xml version="1.0" encoding="utf-8"?>
<sst xmlns="http://schemas.openxmlformats.org/spreadsheetml/2006/main" count="396" uniqueCount="181">
  <si>
    <t>Inventory Optimisation model summary</t>
  </si>
  <si>
    <t>By Christiaan Ackermann</t>
  </si>
  <si>
    <t>Economic order quantity (EOQ) Analysis with ABC Inventory Classification</t>
  </si>
  <si>
    <t>Key Metrics</t>
  </si>
  <si>
    <t>Total SKUs Analysed</t>
  </si>
  <si>
    <t>Total Annual Inventory Cost</t>
  </si>
  <si>
    <t>Total Annual cost savings</t>
  </si>
  <si>
    <t>Overal cost reduction (%)</t>
  </si>
  <si>
    <t>ABC Inventory Classification breakdown</t>
  </si>
  <si>
    <t>Category</t>
  </si>
  <si>
    <t>SKU Count</t>
  </si>
  <si>
    <t>Cumulaltive Cost Impact</t>
  </si>
  <si>
    <t>Management Action</t>
  </si>
  <si>
    <t>A</t>
  </si>
  <si>
    <t>0-80%</t>
  </si>
  <si>
    <t>High priority and Frequent reviews</t>
  </si>
  <si>
    <t>B</t>
  </si>
  <si>
    <t>80-95%</t>
  </si>
  <si>
    <t>Medium priority and regular reviews</t>
  </si>
  <si>
    <t>C</t>
  </si>
  <si>
    <t>95-100%</t>
  </si>
  <si>
    <t>Low priority and simple reorder system</t>
  </si>
  <si>
    <t>Key Model Assumptions</t>
  </si>
  <si>
    <t>Holding Cost Rate</t>
  </si>
  <si>
    <t>Seviece Level (Z-Score)</t>
  </si>
  <si>
    <t>95% (1.65)</t>
  </si>
  <si>
    <t>Cost Per Order</t>
  </si>
  <si>
    <t>Lead Time</t>
  </si>
  <si>
    <t>7 Days</t>
  </si>
  <si>
    <t>TOP 10 A-ITEMS (HIGHEST COST  IMPACT)</t>
  </si>
  <si>
    <t>SKU</t>
  </si>
  <si>
    <t>Annual Cost</t>
  </si>
  <si>
    <t>ABC</t>
  </si>
  <si>
    <t>Savings Potential</t>
  </si>
  <si>
    <t>85099B</t>
  </si>
  <si>
    <t>85099C</t>
  </si>
  <si>
    <t>85123A</t>
  </si>
  <si>
    <t xml:space="preserve">Recommendations </t>
  </si>
  <si>
    <t>Focus on improving inventory management on A level items (0-80%) of  cost</t>
  </si>
  <si>
    <t>Use EOQ quantities from Inventory_Model for procurement decision making.</t>
  </si>
  <si>
    <t>Review reorder points monthly, and adjust safety stock based on demand variability</t>
  </si>
  <si>
    <t>Implement  ABC Classification in invenntory systems to implement automated ordering procedures.</t>
  </si>
  <si>
    <t>Conduct quarterly reviews of holding cost rates (currently 25%) to ensure accuracy.</t>
  </si>
  <si>
    <t>Monitor fluctuations in lead time, update the model if/when suppliers lead times change.</t>
  </si>
  <si>
    <t xml:space="preserve">Inventory Optimisation Model Assumptions and  Parameters </t>
  </si>
  <si>
    <t>DATA Source</t>
  </si>
  <si>
    <t>Parameter</t>
  </si>
  <si>
    <t>Valuie</t>
  </si>
  <si>
    <t xml:space="preserve">Description </t>
  </si>
  <si>
    <t>Data Period</t>
  </si>
  <si>
    <t>~1 Year</t>
  </si>
  <si>
    <t>Transaction data from invoice records (2024, 1 year period)</t>
  </si>
  <si>
    <t>Number Of SKUs</t>
  </si>
  <si>
    <t>SKUs With 2+ Transactions (Filtered in SKU analysis for STDev Value)</t>
  </si>
  <si>
    <t>Total Transactions</t>
  </si>
  <si>
    <t xml:space="preserve">Individual Purchases analysed </t>
  </si>
  <si>
    <t>Data Quality Filter</t>
  </si>
  <si>
    <t>StdDev&gt;=0</t>
  </si>
  <si>
    <t>Stable and variable demand patterns analysed</t>
  </si>
  <si>
    <t xml:space="preserve">Cost Assumptions </t>
  </si>
  <si>
    <t>Industry Standard</t>
  </si>
  <si>
    <t>Per Order Cost</t>
  </si>
  <si>
    <t>Fixed costs to process/recieve orders</t>
  </si>
  <si>
    <t xml:space="preserve">Average Supplier  delivery times </t>
  </si>
  <si>
    <t>Service Level</t>
  </si>
  <si>
    <t>95%(Represented as 1.65)</t>
  </si>
  <si>
    <t xml:space="preserve">Blance stock-outs against the carry costs </t>
  </si>
  <si>
    <t>Key Formulas</t>
  </si>
  <si>
    <t>EOQ</t>
  </si>
  <si>
    <t>Sqrt(2*D*S/H)</t>
  </si>
  <si>
    <t>Optimises order quantity minimising total cost</t>
  </si>
  <si>
    <t>Safety Stock</t>
  </si>
  <si>
    <t>Z*STDDEV*sqrt*(LT)</t>
  </si>
  <si>
    <t xml:space="preserve">Buffer inventory  for demadn variability </t>
  </si>
  <si>
    <t>Reorder Point</t>
  </si>
  <si>
    <t>(Daily Demand*LT)+SS</t>
  </si>
  <si>
    <t>Inventory Level, triggering reorders</t>
  </si>
  <si>
    <t>Annual Holding Cost</t>
  </si>
  <si>
    <t>(EOQ/2)*H</t>
  </si>
  <si>
    <t>Cost of holding average inventory in a data period (1 year)</t>
  </si>
  <si>
    <t>Annual Ordering Cost</t>
  </si>
  <si>
    <t>(D/EOQ)*S</t>
  </si>
  <si>
    <t>Cost to placce an order throughout a data period (1 year)</t>
  </si>
  <si>
    <t xml:space="preserve">ABC Classification </t>
  </si>
  <si>
    <t>A Items</t>
  </si>
  <si>
    <t>High Priority, tight inventory control, requires frequent reviews</t>
  </si>
  <si>
    <t>B Items</t>
  </si>
  <si>
    <t>Medium priority, regualrmonitoring and requires optimisation</t>
  </si>
  <si>
    <t>C Items</t>
  </si>
  <si>
    <t>Low priority, simple reorder point, minimal oversight required</t>
  </si>
  <si>
    <t xml:space="preserve">Limitations and Assumptions </t>
  </si>
  <si>
    <t>Holding cost rate(25%), an estimate, may vary by product and real world enviornments.</t>
  </si>
  <si>
    <t>Lead time (7  Days), is consistent, real world variability varies.</t>
  </si>
  <si>
    <t>Demand assumed normally distributed, ignores flucuations in demand such as season demand.</t>
  </si>
  <si>
    <t xml:space="preserve">Supplier volume discounts not included nor is bulk discount pricing </t>
  </si>
  <si>
    <t>Stock out costs not included in trade off analysis</t>
  </si>
  <si>
    <t>Model ignores the reality of warehouse space (storage assumed unlimited)</t>
  </si>
  <si>
    <t>Invoice</t>
  </si>
  <si>
    <t>Description</t>
  </si>
  <si>
    <t>Quantity</t>
  </si>
  <si>
    <t>InvoiceDate</t>
  </si>
  <si>
    <t>Price</t>
  </si>
  <si>
    <t>Country</t>
  </si>
  <si>
    <t>Customer ID</t>
  </si>
  <si>
    <t>Revenue</t>
  </si>
  <si>
    <t>RED TOADSTOOL LED NIGHT LIGHT</t>
  </si>
  <si>
    <t>United Kingdom</t>
  </si>
  <si>
    <t xml:space="preserve">PAPER CHAIN KIT 50'S CHRISTMAS </t>
  </si>
  <si>
    <t>HAND WARMER UNION JACK</t>
  </si>
  <si>
    <t>HAND WARMER RED RETROSPOT</t>
  </si>
  <si>
    <t>JUMBO  BAG BAROQUE BLACK WHITE</t>
  </si>
  <si>
    <t>JUMBO BAG RED RETROSPOT</t>
  </si>
  <si>
    <t>WHITE HANGING HEART T-LIGHT HOLDER</t>
  </si>
  <si>
    <t>HOMEMADE JAM SCENTED CANDLES</t>
  </si>
  <si>
    <t>RETROSPOT HEART HOT WATER BOTTLE</t>
  </si>
  <si>
    <t xml:space="preserve">ALARM CLOCK BAKELIKE RED </t>
  </si>
  <si>
    <t>France</t>
  </si>
  <si>
    <t>84029G</t>
  </si>
  <si>
    <t>KNITTED UNION FLAG HOT WATER BOTTLE</t>
  </si>
  <si>
    <t>SET 3 WICKER OVAL BASKETS W LIDS</t>
  </si>
  <si>
    <t>DOORMAT FANCY FONT HOME SWEET HOME</t>
  </si>
  <si>
    <t>SET/6 RED SPOTTY PAPER PLATES</t>
  </si>
  <si>
    <t>HEART OF WICKER SMALL</t>
  </si>
  <si>
    <t>ASSORTED COLOUR BIRD ORNAMENT</t>
  </si>
  <si>
    <t>CHRISTMAS LIGHTS 10 REINDEER</t>
  </si>
  <si>
    <t>Australia</t>
  </si>
  <si>
    <t>RETROSPOT LARGE MILK JUG</t>
  </si>
  <si>
    <t>ALARM CLOCK BAKELIKE GREEN</t>
  </si>
  <si>
    <t>JAM MAKING SET WITH JARS</t>
  </si>
  <si>
    <t xml:space="preserve">INFLATABLE POLITICAL GLOBE </t>
  </si>
  <si>
    <t>JAM MAKING SET PRINTED</t>
  </si>
  <si>
    <t>35004C</t>
  </si>
  <si>
    <t>SET OF 3 COLOURED  FLYING DUCKS</t>
  </si>
  <si>
    <t xml:space="preserve">VINTAGE HEADS AND TAILS CARD GAME </t>
  </si>
  <si>
    <t>EDWARDIAN PARASOL RED</t>
  </si>
  <si>
    <t>WOOD S/3 CABINET ANT WHITE FINISH</t>
  </si>
  <si>
    <t>GLASS STAR FROSTED T-LIGHT HOLDER</t>
  </si>
  <si>
    <t>84406B</t>
  </si>
  <si>
    <t>CREAM CUPID HEARTS COAT HANGER</t>
  </si>
  <si>
    <t>WHITE METAL LANTERN</t>
  </si>
  <si>
    <t>84029E</t>
  </si>
  <si>
    <t>RED WOOLLY HOTTIE WHITE HEART.</t>
  </si>
  <si>
    <t>HANGING METAL HEART LANTERN</t>
  </si>
  <si>
    <t>JUMBO SHOPPER VINTAGE RED PAISLEY</t>
  </si>
  <si>
    <t>HOME BUILDING BLOCK WORD</t>
  </si>
  <si>
    <t>LOVE BUILDING BLOCK WORD</t>
  </si>
  <si>
    <t>SET 7 BABUSHKA NESTING BOXES</t>
  </si>
  <si>
    <t>82494L</t>
  </si>
  <si>
    <t xml:space="preserve">WOODEN FRAME ANTIQUE WHITE </t>
  </si>
  <si>
    <t>WOODEN PICTURE FRAME WHITE FINISH</t>
  </si>
  <si>
    <t>HAND WARMER RED POLKA DOT</t>
  </si>
  <si>
    <t>WOOD 2 DRAWER CABINET WHITE FINISH</t>
  </si>
  <si>
    <t>RETRO COFFEE MUGS ASSORTED</t>
  </si>
  <si>
    <t>SAVE THE PLANET MUG</t>
  </si>
  <si>
    <t>VINTAGE BILLBOARD DRINK ME MUG</t>
  </si>
  <si>
    <t>VINTAGE BILLBOARD LOVE/HATE MUG</t>
  </si>
  <si>
    <t>C536383</t>
  </si>
  <si>
    <t>PHOTO CLIP LINE</t>
  </si>
  <si>
    <t>Values</t>
  </si>
  <si>
    <t>Row Labels</t>
  </si>
  <si>
    <t>Sum of Quantity</t>
  </si>
  <si>
    <t>Count of Quantity</t>
  </si>
  <si>
    <t>StdDev of Quantity</t>
  </si>
  <si>
    <t>Sum of Revenue</t>
  </si>
  <si>
    <t>Grand Total</t>
  </si>
  <si>
    <t>Annual Demand</t>
  </si>
  <si>
    <t>Demand STDev</t>
  </si>
  <si>
    <t>Unit Price</t>
  </si>
  <si>
    <t>Daily Demand</t>
  </si>
  <si>
    <t>Holding Cost(Assumed  25%)</t>
  </si>
  <si>
    <t>Holding Cost Per Unit</t>
  </si>
  <si>
    <t>Order Cost(Assumed 100$)</t>
  </si>
  <si>
    <t>Lead Time (Assumed 7 Days)</t>
  </si>
  <si>
    <t>Total Inventory Cost</t>
  </si>
  <si>
    <t>Cumulative Cost</t>
  </si>
  <si>
    <t>Cumulative %</t>
  </si>
  <si>
    <t>ABC Category</t>
  </si>
  <si>
    <t>Baseline Cost</t>
  </si>
  <si>
    <t>Optimised Cost</t>
  </si>
  <si>
    <t>Cost Saving</t>
  </si>
  <si>
    <t>Cost Saving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</si>
</sst>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[$$-409]#,##0.00"/>
    <numFmt numFmtId="166" formatCode="0.000%"/>
  </numFmts>
  <fonts count="21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6"/>
      <color theme="1"/>
      <name val="Calibri"/>
    </font>
    <font>
      <b/>
      <i/>
      <sz val="16"/>
      <color theme="1"/>
      <name val="Calibri"/>
    </font>
    <font>
      <i/>
      <sz val="10"/>
      <color theme="0"/>
      <name val="Calibri"/>
    </font>
    <font>
      <i/>
      <sz val="10"/>
      <color theme="0"/>
      <name val="Calibri"/>
      <scheme val="minor"/>
    </font>
    <font>
      <b/>
      <sz val="14"/>
      <color theme="1"/>
      <name val="Calibri"/>
    </font>
    <font>
      <b/>
      <sz val="12"/>
      <color theme="1"/>
      <name val="Calibri"/>
    </font>
    <font>
      <b/>
      <sz val="11"/>
      <color theme="1"/>
      <name val="Calibri"/>
    </font>
    <font>
      <sz val="11"/>
      <color indexed="64"/>
      <name val="Calibri"/>
    </font>
    <font>
      <b/>
      <sz val="14"/>
      <color theme="1"/>
      <name val="Calibri"/>
    </font>
    <font>
      <b/>
      <sz val="11"/>
      <color theme="1"/>
      <name val="Calibri"/>
      <scheme val="minor"/>
    </font>
    <font>
      <b/>
      <sz val="14"/>
      <color theme="1"/>
      <name val="Calibri"/>
      <scheme val="minor"/>
    </font>
    <font>
      <i/>
      <sz val="11"/>
      <color theme="1"/>
      <name val="Calibri"/>
    </font>
    <font>
      <b/>
      <sz val="14"/>
      <color theme="1"/>
      <name val="Calibri"/>
      <scheme val="minor"/>
    </font>
    <font>
      <b/>
      <sz val="12"/>
      <color theme="1"/>
      <name val="Calibri"/>
      <scheme val="minor"/>
    </font>
    <font>
      <b/>
      <i/>
      <sz val="14"/>
      <color theme="0"/>
      <name val="Calibri"/>
      <scheme val="minor"/>
    </font>
    <font>
      <sz val="11"/>
      <color theme="0"/>
      <name val="Calibri"/>
      <scheme val="minor"/>
    </font>
    <font>
      <b/>
      <sz val="14"/>
      <color theme="0"/>
      <name val="Calibri"/>
    </font>
    <font>
      <b/>
      <sz val="14"/>
      <color theme="0"/>
      <name val="Calibri"/>
      <scheme val="minor"/>
    </font>
    <font>
      <b/>
      <sz val="16"/>
      <color theme="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9" tint="-0.499984740745262"/>
        <bgColor theme="9" tint="-0.499984740745262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8" tint="-0.499984740745262"/>
        <bgColor theme="8" tint="-0.499984740745262"/>
      </patternFill>
    </fill>
    <fill>
      <patternFill patternType="solid">
        <fgColor theme="4" tint="-0.499984740745262"/>
        <bgColor theme="4" tint="-0.499984740745262"/>
      </patternFill>
    </fill>
  </fills>
  <borders count="11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1" xfId="0" applyFont="1" applyBorder="1"/>
    <xf numFmtId="0" fontId="11" fillId="5" borderId="1" xfId="0" applyFont="1" applyFill="1" applyBorder="1"/>
    <xf numFmtId="0" fontId="8" fillId="5" borderId="1" xfId="0" applyFont="1" applyFill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3" fillId="0" borderId="2" xfId="0" applyFont="1" applyBorder="1"/>
    <xf numFmtId="9" fontId="1" fillId="0" borderId="4" xfId="0" applyNumberFormat="1" applyFont="1" applyBorder="1"/>
    <xf numFmtId="0" fontId="1" fillId="0" borderId="4" xfId="0" applyFont="1" applyBorder="1"/>
    <xf numFmtId="165" fontId="1" fillId="0" borderId="4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1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9" fontId="0" fillId="0" borderId="0" xfId="0" applyNumberFormat="1"/>
    <xf numFmtId="165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16" fillId="6" borderId="1" xfId="0" applyFont="1" applyFill="1" applyBorder="1" applyAlignment="1">
      <alignment horizontal="center"/>
    </xf>
    <xf numFmtId="1" fontId="16" fillId="6" borderId="1" xfId="0" applyNumberFormat="1" applyFont="1" applyFill="1" applyBorder="1" applyAlignment="1">
      <alignment horizontal="center"/>
    </xf>
    <xf numFmtId="2" fontId="16" fillId="6" borderId="1" xfId="0" applyNumberFormat="1" applyFont="1" applyFill="1" applyBorder="1" applyAlignment="1">
      <alignment horizontal="center"/>
    </xf>
    <xf numFmtId="165" fontId="16" fillId="6" borderId="1" xfId="0" applyNumberFormat="1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1" fontId="0" fillId="0" borderId="8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0" borderId="9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" fontId="0" fillId="0" borderId="0" xfId="0" applyNumberFormat="1"/>
    <xf numFmtId="0" fontId="17" fillId="7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165" fontId="0" fillId="0" borderId="1" xfId="0" applyNumberFormat="1" applyBorder="1"/>
    <xf numFmtId="0" fontId="17" fillId="7" borderId="1" xfId="0" applyFont="1" applyFill="1" applyBorder="1" applyAlignment="1">
      <alignment horizontal="left"/>
    </xf>
    <xf numFmtId="165" fontId="17" fillId="7" borderId="1" xfId="0" applyNumberFormat="1" applyFont="1" applyFill="1" applyBorder="1"/>
    <xf numFmtId="0" fontId="18" fillId="7" borderId="8" xfId="0" applyFont="1" applyFill="1" applyBorder="1"/>
    <xf numFmtId="0" fontId="19" fillId="7" borderId="8" xfId="0" applyFont="1" applyFill="1" applyBorder="1"/>
    <xf numFmtId="165" fontId="19" fillId="7" borderId="8" xfId="0" applyNumberFormat="1" applyFont="1" applyFill="1" applyBorder="1"/>
    <xf numFmtId="0" fontId="0" fillId="0" borderId="8" xfId="0" applyBorder="1" applyAlignment="1">
      <alignment horizontal="left"/>
    </xf>
    <xf numFmtId="0" fontId="0" fillId="0" borderId="8" xfId="0" applyBorder="1"/>
    <xf numFmtId="165" fontId="0" fillId="0" borderId="8" xfId="0" applyNumberFormat="1" applyBorder="1"/>
    <xf numFmtId="0" fontId="1" fillId="0" borderId="8" xfId="0" applyFont="1" applyBorder="1"/>
    <xf numFmtId="9" fontId="0" fillId="0" borderId="8" xfId="0" applyNumberFormat="1" applyBorder="1"/>
    <xf numFmtId="165" fontId="1" fillId="0" borderId="8" xfId="0" applyNumberFormat="1" applyFont="1" applyBorder="1"/>
    <xf numFmtId="165" fontId="1" fillId="0" borderId="9" xfId="0" applyNumberFormat="1" applyFont="1" applyBorder="1"/>
    <xf numFmtId="166" fontId="1" fillId="0" borderId="8" xfId="0" applyNumberFormat="1" applyFont="1" applyBorder="1"/>
    <xf numFmtId="0" fontId="0" fillId="0" borderId="9" xfId="0" applyBorder="1" applyAlignment="1">
      <alignment horizontal="left"/>
    </xf>
    <xf numFmtId="0" fontId="0" fillId="0" borderId="9" xfId="0" applyBorder="1"/>
    <xf numFmtId="165" fontId="0" fillId="0" borderId="9" xfId="0" applyNumberFormat="1" applyBorder="1"/>
    <xf numFmtId="0" fontId="1" fillId="0" borderId="9" xfId="0" applyFont="1" applyBorder="1"/>
    <xf numFmtId="9" fontId="0" fillId="0" borderId="9" xfId="0" applyNumberFormat="1" applyBorder="1"/>
    <xf numFmtId="0" fontId="0" fillId="0" borderId="10" xfId="0" applyBorder="1" applyAlignment="1">
      <alignment horizontal="left"/>
    </xf>
    <xf numFmtId="0" fontId="0" fillId="0" borderId="10" xfId="0" applyBorder="1"/>
    <xf numFmtId="165" fontId="0" fillId="0" borderId="10" xfId="0" applyNumberFormat="1" applyBorder="1"/>
    <xf numFmtId="0" fontId="1" fillId="0" borderId="10" xfId="0" applyFont="1" applyBorder="1"/>
    <xf numFmtId="9" fontId="0" fillId="0" borderId="10" xfId="0" applyNumberFormat="1" applyBorder="1"/>
    <xf numFmtId="165" fontId="1" fillId="0" borderId="10" xfId="0" applyNumberFormat="1" applyFont="1" applyBorder="1"/>
    <xf numFmtId="0" fontId="20" fillId="7" borderId="1" xfId="0" applyFont="1" applyFill="1" applyBorder="1"/>
    <xf numFmtId="166" fontId="0" fillId="0" borderId="8" xfId="0" applyNumberFormat="1" applyBorder="1"/>
    <xf numFmtId="0" fontId="0" fillId="0" borderId="0" xfId="0" applyAlignment="1">
      <alignment horizontal="left"/>
    </xf>
    <xf numFmtId="0" fontId="12" fillId="4" borderId="2" xfId="0" applyFont="1" applyFill="1" applyBorder="1" applyAlignment="1">
      <alignment horizontal="center"/>
    </xf>
    <xf numFmtId="0" fontId="12" fillId="4" borderId="3" xfId="0" applyFont="1" applyFill="1" applyBorder="1" applyAlignment="1">
      <alignment horizontal="center"/>
    </xf>
    <xf numFmtId="0" fontId="12" fillId="4" borderId="4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165" fontId="1" fillId="0" borderId="3" xfId="0" applyNumberFormat="1" applyFont="1" applyBorder="1" applyAlignment="1">
      <alignment horizontal="center"/>
    </xf>
    <xf numFmtId="165" fontId="1" fillId="0" borderId="4" xfId="0" applyNumberFormat="1" applyFont="1" applyBorder="1" applyAlignment="1">
      <alignment horizontal="center"/>
    </xf>
    <xf numFmtId="165" fontId="9" fillId="0" borderId="2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5" fontId="9" fillId="0" borderId="4" xfId="0" applyNumberFormat="1" applyFont="1" applyBorder="1" applyAlignment="1">
      <alignment horizontal="center"/>
    </xf>
    <xf numFmtId="10" fontId="1" fillId="0" borderId="2" xfId="0" applyNumberFormat="1" applyFont="1" applyBorder="1" applyAlignment="1">
      <alignment horizontal="center"/>
    </xf>
    <xf numFmtId="10" fontId="1" fillId="0" borderId="3" xfId="0" applyNumberFormat="1" applyFont="1" applyBorder="1" applyAlignment="1">
      <alignment horizontal="center"/>
    </xf>
    <xf numFmtId="10" fontId="1" fillId="0" borderId="4" xfId="0" applyNumberFormat="1" applyFont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15" fillId="4" borderId="0" xfId="0" applyFont="1" applyFill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15" fillId="4" borderId="2" xfId="0" applyFont="1" applyFill="1" applyBorder="1" applyAlignment="1">
      <alignment horizontal="center"/>
    </xf>
    <xf numFmtId="0" fontId="15" fillId="4" borderId="3" xfId="0" applyFont="1" applyFill="1" applyBorder="1" applyAlignment="1">
      <alignment horizontal="center"/>
    </xf>
    <xf numFmtId="0" fontId="15" fillId="4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4" refreshedVersion="4" minRefreshableVersion="3" recordCount="103" xr:uid="{00000000-000A-0000-FFFF-FFFF00000000}">
  <cacheSource type="worksheet">
    <worksheetSource ref="A1:I104" sheet="DataSetRaw"/>
  </cacheSource>
  <cacheFields count="9">
    <cacheField name="Invoice" numFmtId="0">
      <sharedItems containsMixedTypes="1" containsNumber="1" containsInteger="1" minValue="536365" maxValue="536394"/>
    </cacheField>
    <cacheField name="SKU" numFmtId="0">
      <sharedItems containsMixedTypes="1" containsNumber="1" containsInteger="1" minValue="10002" maxValue="84879" count="43">
        <n v="21731"/>
        <n v="22086"/>
        <n v="22633"/>
        <n v="22632"/>
        <s v="85099C"/>
        <s v="85099B"/>
        <s v="85123A"/>
        <n v="22969"/>
        <n v="21485"/>
        <n v="22727"/>
        <s v="84029G"/>
        <n v="22783"/>
        <n v="21523"/>
        <n v="21094"/>
        <n v="22469"/>
        <n v="84879"/>
        <n v="22941"/>
        <n v="21533"/>
        <n v="22726"/>
        <n v="22960"/>
        <n v="10002"/>
        <n v="22961"/>
        <s v="35004C"/>
        <n v="21791"/>
        <n v="20679"/>
        <n v="82486"/>
        <n v="21730"/>
        <s v="84406B"/>
        <n v="71053"/>
        <s v="84029E"/>
        <n v="22464"/>
        <n v="22411"/>
        <n v="21754"/>
        <n v="21755"/>
        <n v="22752"/>
        <s v="82494L"/>
        <n v="82482"/>
        <n v="82483"/>
        <n v="37370"/>
        <n v="21871"/>
        <n v="21071"/>
        <n v="21068"/>
        <n v="71270"/>
      </sharedItems>
    </cacheField>
    <cacheField name="Description" numFmtId="0">
      <sharedItems/>
    </cacheField>
    <cacheField name="Quantity" numFmtId="0">
      <sharedItems containsSemiMixedTypes="0" containsString="0" containsNumber="1" containsInteger="1" minValue="1" maxValue="432"/>
    </cacheField>
    <cacheField name="InvoiceDate" numFmtId="164">
      <sharedItems containsSemiMixedTypes="0" containsNonDate="0" containsDate="1" containsString="0" minDate="2024-01-04T00:00:00" maxDate="2024-12-30T00:00:00"/>
    </cacheField>
    <cacheField name="Price" numFmtId="0">
      <sharedItems containsSemiMixedTypes="0" containsString="0" containsNumber="1" minValue="0.64" maxValue="19.95"/>
    </cacheField>
    <cacheField name="Country" numFmtId="0">
      <sharedItems/>
    </cacheField>
    <cacheField name="Customer ID" numFmtId="0">
      <sharedItems containsSemiMixedTypes="0" containsString="0" containsNumber="1" containsInteger="1" minValue="12431" maxValue="18074"/>
    </cacheField>
    <cacheField name="Revenue" numFmtId="2">
      <sharedItems containsSemiMixedTypes="0" containsString="0" containsNumber="1" minValue="1.25" maxValue="5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3">
  <r>
    <n v="536387"/>
    <x v="0"/>
    <s v="RED TOADSTOOL LED NIGHT LIGHT"/>
    <n v="432"/>
    <d v="2024-10-19T00:00:00"/>
    <n v="1.25"/>
    <s v="United Kingdom"/>
    <n v="16029"/>
    <n v="540"/>
  </r>
  <r>
    <n v="536371"/>
    <x v="1"/>
    <s v="PAPER CHAIN KIT 50'S CHRISTMAS "/>
    <n v="80"/>
    <d v="2024-05-01T00:00:00"/>
    <n v="2.55"/>
    <s v="United Kingdom"/>
    <n v="13748"/>
    <n v="204"/>
  </r>
  <r>
    <n v="536394"/>
    <x v="2"/>
    <s v="HAND WARMER UNION JACK"/>
    <n v="96"/>
    <d v="2024-03-17T00:00:00"/>
    <n v="1.85"/>
    <s v="United Kingdom"/>
    <n v="13408"/>
    <n v="177.60000000000002"/>
  </r>
  <r>
    <n v="536394"/>
    <x v="3"/>
    <s v="HAND WARMER RED RETROSPOT"/>
    <n v="96"/>
    <d v="2024-02-13T00:00:00"/>
    <n v="1.85"/>
    <s v="United Kingdom"/>
    <n v="13408"/>
    <n v="177.60000000000002"/>
  </r>
  <r>
    <n v="536386"/>
    <x v="4"/>
    <s v="JUMBO  BAG BAROQUE BLACK WHITE"/>
    <n v="100"/>
    <d v="2024-11-14T00:00:00"/>
    <n v="1.65"/>
    <s v="United Kingdom"/>
    <n v="16029"/>
    <n v="165"/>
  </r>
  <r>
    <n v="536386"/>
    <x v="5"/>
    <s v="JUMBO BAG RED RETROSPOT"/>
    <n v="100"/>
    <d v="2024-10-16T00:00:00"/>
    <n v="1.65"/>
    <s v="United Kingdom"/>
    <n v="16029"/>
    <n v="165"/>
  </r>
  <r>
    <n v="536390"/>
    <x v="5"/>
    <s v="JUMBO BAG RED RETROSPOT"/>
    <n v="100"/>
    <d v="2024-04-06T00:00:00"/>
    <n v="1.65"/>
    <s v="United Kingdom"/>
    <n v="17511"/>
    <n v="165"/>
  </r>
  <r>
    <n v="536390"/>
    <x v="6"/>
    <s v="WHITE HANGING HEART T-LIGHT HOLDER"/>
    <n v="64"/>
    <d v="2024-02-07T00:00:00"/>
    <n v="2.55"/>
    <s v="United Kingdom"/>
    <n v="17511"/>
    <n v="163.2"/>
  </r>
  <r>
    <n v="536390"/>
    <x v="7"/>
    <s v="HOMEMADE JAM SCENTED CANDLES"/>
    <n v="96"/>
    <d v="2024-02-17T00:00:00"/>
    <n v="1.25"/>
    <s v="United Kingdom"/>
    <n v="17511"/>
    <n v="120"/>
  </r>
  <r>
    <n v="536390"/>
    <x v="8"/>
    <s v="RETROSPOT HEART HOT WATER BOTTLE"/>
    <n v="24"/>
    <d v="2024-11-24T00:00:00"/>
    <n v="4.25"/>
    <s v="United Kingdom"/>
    <n v="17511"/>
    <n v="102"/>
  </r>
  <r>
    <n v="536370"/>
    <x v="9"/>
    <s v="ALARM CLOCK BAKELIKE RED "/>
    <n v="24"/>
    <d v="2024-07-06T00:00:00"/>
    <n v="3.75"/>
    <s v="France"/>
    <n v="12583"/>
    <n v="90"/>
  </r>
  <r>
    <n v="536390"/>
    <x v="10"/>
    <s v="KNITTED UNION FLAG HOT WATER BOTTLE"/>
    <n v="24"/>
    <d v="2024-12-27T00:00:00"/>
    <n v="3.39"/>
    <s v="United Kingdom"/>
    <n v="17511"/>
    <n v="81.36"/>
  </r>
  <r>
    <n v="536382"/>
    <x v="11"/>
    <s v="SET 3 WICKER OVAL BASKETS W LIDS"/>
    <n v="4"/>
    <d v="2024-08-29T00:00:00"/>
    <n v="16.95"/>
    <s v="United Kingdom"/>
    <n v="16098"/>
    <n v="67.8"/>
  </r>
  <r>
    <n v="536381"/>
    <x v="12"/>
    <s v="DOORMAT FANCY FONT HOME SWEET HOME"/>
    <n v="10"/>
    <d v="2024-08-20T00:00:00"/>
    <n v="6.75"/>
    <s v="United Kingdom"/>
    <n v="15311"/>
    <n v="67.5"/>
  </r>
  <r>
    <n v="536390"/>
    <x v="13"/>
    <s v="SET/6 RED SPOTTY PAPER PLATES"/>
    <n v="96"/>
    <d v="2024-05-10T00:00:00"/>
    <n v="0.64"/>
    <s v="United Kingdom"/>
    <n v="17511"/>
    <n v="61.44"/>
  </r>
  <r>
    <n v="536394"/>
    <x v="8"/>
    <s v="RETROSPOT HEART HOT WATER BOTTLE"/>
    <n v="12"/>
    <d v="2024-06-02T00:00:00"/>
    <n v="4.95"/>
    <s v="United Kingdom"/>
    <n v="13408"/>
    <n v="59.400000000000006"/>
  </r>
  <r>
    <n v="536384"/>
    <x v="14"/>
    <s v="HEART OF WICKER SMALL"/>
    <n v="40"/>
    <d v="2024-08-31T00:00:00"/>
    <n v="1.45"/>
    <s v="United Kingdom"/>
    <n v="18074"/>
    <n v="58"/>
  </r>
  <r>
    <n v="536367"/>
    <x v="15"/>
    <s v="ASSORTED COLOUR BIRD ORNAMENT"/>
    <n v="32"/>
    <d v="2024-07-13T00:00:00"/>
    <n v="1.69"/>
    <s v="United Kingdom"/>
    <n v="13047"/>
    <n v="54.08"/>
  </r>
  <r>
    <n v="536389"/>
    <x v="16"/>
    <s v="CHRISTMAS LIGHTS 10 REINDEER"/>
    <n v="6"/>
    <d v="2024-02-05T00:00:00"/>
    <n v="8.5"/>
    <s v="Australia"/>
    <n v="12431"/>
    <n v="51"/>
  </r>
  <r>
    <n v="536390"/>
    <x v="17"/>
    <s v="RETROSPOT LARGE MILK JUG"/>
    <n v="12"/>
    <d v="2024-08-01T00:00:00"/>
    <n v="4.25"/>
    <s v="United Kingdom"/>
    <n v="17511"/>
    <n v="51"/>
  </r>
  <r>
    <n v="536370"/>
    <x v="18"/>
    <s v="ALARM CLOCK BAKELIKE GREEN"/>
    <n v="12"/>
    <d v="2024-12-30T00:00:00"/>
    <n v="3.75"/>
    <s v="France"/>
    <n v="12583"/>
    <n v="45"/>
  </r>
  <r>
    <n v="536390"/>
    <x v="19"/>
    <s v="JAM MAKING SET WITH JARS"/>
    <n v="12"/>
    <d v="2024-01-30T00:00:00"/>
    <n v="3.75"/>
    <s v="United Kingdom"/>
    <n v="17511"/>
    <n v="45"/>
  </r>
  <r>
    <n v="536370"/>
    <x v="20"/>
    <s v="INFLATABLE POLITICAL GLOBE "/>
    <n v="48"/>
    <d v="2024-09-19T00:00:00"/>
    <n v="0.85"/>
    <s v="France"/>
    <n v="12583"/>
    <n v="40.8"/>
  </r>
  <r>
    <n v="536370"/>
    <x v="0"/>
    <s v="RED TOADSTOOL LED NIGHT LIGHT"/>
    <n v="24"/>
    <d v="2024-05-11T00:00:00"/>
    <n v="1.65"/>
    <s v="France"/>
    <n v="12583"/>
    <n v="39.599999999999994"/>
  </r>
  <r>
    <n v="536380"/>
    <x v="21"/>
    <s v="JAM MAKING SET PRINTED"/>
    <n v="24"/>
    <d v="2024-11-22T00:00:00"/>
    <n v="1.45"/>
    <s v="United Kingdom"/>
    <n v="17809"/>
    <n v="34.8"/>
  </r>
  <r>
    <n v="536389"/>
    <x v="22"/>
    <s v="SET OF 3 COLOURED  FLYING DUCKS"/>
    <n v="6"/>
    <d v="2024-07-31T00:00:00"/>
    <n v="5.45"/>
    <s v="Australia"/>
    <n v="12431"/>
    <n v="32.7"/>
  </r>
  <r>
    <n v="536370"/>
    <x v="23"/>
    <s v="VINTAGE HEADS AND TAILS CARD GAME "/>
    <n v="24"/>
    <d v="2024-09-21T00:00:00"/>
    <n v="1.25"/>
    <s v="France"/>
    <n v="12583"/>
    <n v="30"/>
  </r>
  <r>
    <n v="536373"/>
    <x v="24"/>
    <s v="EDWARDIAN PARASOL RED"/>
    <n v="6"/>
    <d v="2024-08-19T00:00:00"/>
    <n v="4.95"/>
    <s v="United Kingdom"/>
    <n v="17850"/>
    <n v="29.700000000000003"/>
  </r>
  <r>
    <n v="536375"/>
    <x v="24"/>
    <s v="EDWARDIAN PARASOL RED"/>
    <n v="6"/>
    <d v="2024-10-23T00:00:00"/>
    <n v="4.95"/>
    <s v="United Kingdom"/>
    <n v="17850"/>
    <n v="29.700000000000003"/>
  </r>
  <r>
    <n v="536373"/>
    <x v="25"/>
    <s v="WOOD S/3 CABINET ANT WHITE FINISH"/>
    <n v="4"/>
    <d v="2024-02-26T00:00:00"/>
    <n v="6.95"/>
    <s v="United Kingdom"/>
    <n v="17850"/>
    <n v="27.8"/>
  </r>
  <r>
    <n v="536375"/>
    <x v="25"/>
    <s v="WOOD S/3 CABINET ANT WHITE FINISH"/>
    <n v="4"/>
    <d v="2024-09-19T00:00:00"/>
    <n v="6.95"/>
    <s v="United Kingdom"/>
    <n v="17850"/>
    <n v="27.8"/>
  </r>
  <r>
    <n v="536392"/>
    <x v="15"/>
    <s v="ASSORTED COLOUR BIRD ORNAMENT"/>
    <n v="16"/>
    <d v="2024-11-01T00:00:00"/>
    <n v="1.69"/>
    <s v="United Kingdom"/>
    <n v="13705"/>
    <n v="27.04"/>
  </r>
  <r>
    <n v="536365"/>
    <x v="26"/>
    <s v="GLASS STAR FROSTED T-LIGHT HOLDER"/>
    <n v="6"/>
    <d v="2024-03-14T00:00:00"/>
    <n v="4.25"/>
    <s v="United Kingdom"/>
    <n v="17850"/>
    <n v="25.5"/>
  </r>
  <r>
    <n v="536368"/>
    <x v="19"/>
    <s v="JAM MAKING SET WITH JARS"/>
    <n v="6"/>
    <d v="2024-07-04T00:00:00"/>
    <n v="4.25"/>
    <s v="United Kingdom"/>
    <n v="13047"/>
    <n v="25.5"/>
  </r>
  <r>
    <n v="536373"/>
    <x v="26"/>
    <s v="GLASS STAR FROSTED T-LIGHT HOLDER"/>
    <n v="6"/>
    <d v="2024-12-18T00:00:00"/>
    <n v="4.25"/>
    <s v="United Kingdom"/>
    <n v="17850"/>
    <n v="25.5"/>
  </r>
  <r>
    <n v="536375"/>
    <x v="26"/>
    <s v="GLASS STAR FROSTED T-LIGHT HOLDER"/>
    <n v="6"/>
    <d v="2024-01-21T00:00:00"/>
    <n v="4.25"/>
    <s v="United Kingdom"/>
    <n v="17850"/>
    <n v="25.5"/>
  </r>
  <r>
    <n v="536385"/>
    <x v="19"/>
    <s v="JAM MAKING SET WITH JARS"/>
    <n v="6"/>
    <d v="2024-08-11T00:00:00"/>
    <n v="4.25"/>
    <s v="United Kingdom"/>
    <n v="17420"/>
    <n v="25.5"/>
  </r>
  <r>
    <n v="536365"/>
    <x v="27"/>
    <s v="CREAM CUPID HEARTS COAT HANGER"/>
    <n v="8"/>
    <d v="2024-03-20T00:00:00"/>
    <n v="2.75"/>
    <s v="United Kingdom"/>
    <n v="17850"/>
    <n v="22"/>
  </r>
  <r>
    <n v="536373"/>
    <x v="27"/>
    <s v="CREAM CUPID HEARTS COAT HANGER"/>
    <n v="8"/>
    <d v="2024-05-14T00:00:00"/>
    <n v="2.75"/>
    <s v="United Kingdom"/>
    <n v="17850"/>
    <n v="22"/>
  </r>
  <r>
    <n v="536375"/>
    <x v="27"/>
    <s v="CREAM CUPID HEARTS COAT HANGER"/>
    <n v="8"/>
    <d v="2024-09-28T00:00:00"/>
    <n v="2.75"/>
    <s v="United Kingdom"/>
    <n v="17850"/>
    <n v="22"/>
  </r>
  <r>
    <n v="536365"/>
    <x v="28"/>
    <s v="WHITE METAL LANTERN"/>
    <n v="6"/>
    <d v="2024-03-19T00:00:00"/>
    <n v="3.39"/>
    <s v="United Kingdom"/>
    <n v="17850"/>
    <n v="20.34"/>
  </r>
  <r>
    <n v="536365"/>
    <x v="10"/>
    <s v="KNITTED UNION FLAG HOT WATER BOTTLE"/>
    <n v="6"/>
    <d v="2024-12-01T00:00:00"/>
    <n v="3.39"/>
    <s v="United Kingdom"/>
    <n v="17850"/>
    <n v="20.34"/>
  </r>
  <r>
    <n v="536365"/>
    <x v="29"/>
    <s v="RED WOOLLY HOTTIE WHITE HEART."/>
    <n v="6"/>
    <d v="2024-04-02T00:00:00"/>
    <n v="3.39"/>
    <s v="United Kingdom"/>
    <n v="17850"/>
    <n v="20.34"/>
  </r>
  <r>
    <n v="536373"/>
    <x v="28"/>
    <s v="WHITE METAL LANTERN"/>
    <n v="6"/>
    <d v="2024-07-24T00:00:00"/>
    <n v="3.39"/>
    <s v="United Kingdom"/>
    <n v="17850"/>
    <n v="20.34"/>
  </r>
  <r>
    <n v="536373"/>
    <x v="10"/>
    <s v="KNITTED UNION FLAG HOT WATER BOTTLE"/>
    <n v="6"/>
    <d v="2024-05-15T00:00:00"/>
    <n v="3.39"/>
    <s v="United Kingdom"/>
    <n v="17850"/>
    <n v="20.34"/>
  </r>
  <r>
    <n v="536373"/>
    <x v="29"/>
    <s v="RED WOOLLY HOTTIE WHITE HEART."/>
    <n v="6"/>
    <d v="2024-08-04T00:00:00"/>
    <n v="3.39"/>
    <s v="United Kingdom"/>
    <n v="17850"/>
    <n v="20.34"/>
  </r>
  <r>
    <n v="536375"/>
    <x v="28"/>
    <s v="WHITE METAL LANTERN"/>
    <n v="6"/>
    <d v="2024-10-05T00:00:00"/>
    <n v="3.39"/>
    <s v="United Kingdom"/>
    <n v="17850"/>
    <n v="20.34"/>
  </r>
  <r>
    <n v="536375"/>
    <x v="10"/>
    <s v="KNITTED UNION FLAG HOT WATER BOTTLE"/>
    <n v="6"/>
    <d v="2024-09-15T00:00:00"/>
    <n v="3.39"/>
    <s v="United Kingdom"/>
    <n v="17850"/>
    <n v="20.34"/>
  </r>
  <r>
    <n v="536375"/>
    <x v="29"/>
    <s v="RED WOOLLY HOTTIE WHITE HEART."/>
    <n v="6"/>
    <d v="2024-11-05T00:00:00"/>
    <n v="3.39"/>
    <s v="United Kingdom"/>
    <n v="17850"/>
    <n v="20.34"/>
  </r>
  <r>
    <n v="536385"/>
    <x v="11"/>
    <s v="SET 3 WICKER OVAL BASKETS W LIDS"/>
    <n v="1"/>
    <d v="2024-02-02T00:00:00"/>
    <n v="19.95"/>
    <s v="United Kingdom"/>
    <n v="17420"/>
    <n v="19.95"/>
  </r>
  <r>
    <n v="536384"/>
    <x v="30"/>
    <s v="HANGING METAL HEART LANTERN"/>
    <n v="12"/>
    <d v="2024-01-12T00:00:00"/>
    <n v="1.65"/>
    <s v="United Kingdom"/>
    <n v="18074"/>
    <n v="19.799999999999997"/>
  </r>
  <r>
    <n v="536388"/>
    <x v="30"/>
    <s v="HANGING METAL HEART LANTERN"/>
    <n v="12"/>
    <d v="2024-04-26T00:00:00"/>
    <n v="1.65"/>
    <s v="United Kingdom"/>
    <n v="16250"/>
    <n v="19.799999999999997"/>
  </r>
  <r>
    <n v="536388"/>
    <x v="14"/>
    <s v="HEART OF WICKER SMALL"/>
    <n v="12"/>
    <d v="2024-07-21T00:00:00"/>
    <n v="1.65"/>
    <s v="United Kingdom"/>
    <n v="16250"/>
    <n v="19.799999999999997"/>
  </r>
  <r>
    <n v="536378"/>
    <x v="4"/>
    <s v="JUMBO  BAG BAROQUE BLACK WHITE"/>
    <n v="10"/>
    <d v="2024-10-29T00:00:00"/>
    <n v="1.95"/>
    <s v="United Kingdom"/>
    <n v="14688"/>
    <n v="19.5"/>
  </r>
  <r>
    <n v="536381"/>
    <x v="31"/>
    <s v="JUMBO SHOPPER VINTAGE RED PAISLEY"/>
    <n v="10"/>
    <d v="2024-08-13T00:00:00"/>
    <n v="1.95"/>
    <s v="United Kingdom"/>
    <n v="15311"/>
    <n v="19.5"/>
  </r>
  <r>
    <n v="536382"/>
    <x v="31"/>
    <s v="JUMBO SHOPPER VINTAGE RED PAISLEY"/>
    <n v="10"/>
    <d v="2024-01-04T00:00:00"/>
    <n v="1.95"/>
    <s v="United Kingdom"/>
    <n v="16098"/>
    <n v="19.5"/>
  </r>
  <r>
    <n v="536367"/>
    <x v="32"/>
    <s v="HOME BUILDING BLOCK WORD"/>
    <n v="3"/>
    <d v="2024-05-29T00:00:00"/>
    <n v="5.95"/>
    <s v="United Kingdom"/>
    <n v="13047"/>
    <n v="17.85"/>
  </r>
  <r>
    <n v="536367"/>
    <x v="33"/>
    <s v="LOVE BUILDING BLOCK WORD"/>
    <n v="3"/>
    <d v="2024-06-29T00:00:00"/>
    <n v="5.95"/>
    <s v="United Kingdom"/>
    <n v="13047"/>
    <n v="17.85"/>
  </r>
  <r>
    <n v="536388"/>
    <x v="32"/>
    <s v="HOME BUILDING BLOCK WORD"/>
    <n v="3"/>
    <d v="2024-09-05T00:00:00"/>
    <n v="5.95"/>
    <s v="United Kingdom"/>
    <n v="16250"/>
    <n v="17.85"/>
  </r>
  <r>
    <n v="536388"/>
    <x v="33"/>
    <s v="LOVE BUILDING BLOCK WORD"/>
    <n v="3"/>
    <d v="2024-08-02T00:00:00"/>
    <n v="5.95"/>
    <s v="United Kingdom"/>
    <n v="16250"/>
    <n v="17.85"/>
  </r>
  <r>
    <n v="536385"/>
    <x v="21"/>
    <s v="JAM MAKING SET PRINTED"/>
    <n v="12"/>
    <d v="2024-07-22T00:00:00"/>
    <n v="1.45"/>
    <s v="United Kingdom"/>
    <n v="17420"/>
    <n v="17.4"/>
  </r>
  <r>
    <n v="536388"/>
    <x v="7"/>
    <s v="HOMEMADE JAM SCENTED CANDLES"/>
    <n v="12"/>
    <d v="2024-09-10T00:00:00"/>
    <n v="1.45"/>
    <s v="United Kingdom"/>
    <n v="16250"/>
    <n v="17.4"/>
  </r>
  <r>
    <n v="536390"/>
    <x v="21"/>
    <s v="JAM MAKING SET PRINTED"/>
    <n v="12"/>
    <d v="2024-08-07T00:00:00"/>
    <n v="1.45"/>
    <s v="United Kingdom"/>
    <n v="17511"/>
    <n v="17.4"/>
  </r>
  <r>
    <n v="536390"/>
    <x v="16"/>
    <s v="CHRISTMAS LIGHTS 10 REINDEER"/>
    <n v="2"/>
    <d v="2024-11-25T00:00:00"/>
    <n v="8.5"/>
    <s v="United Kingdom"/>
    <n v="17511"/>
    <n v="17"/>
  </r>
  <r>
    <n v="536388"/>
    <x v="12"/>
    <s v="DOORMAT FANCY FONT HOME SWEET HOME"/>
    <n v="2"/>
    <d v="2024-07-23T00:00:00"/>
    <n v="7.95"/>
    <s v="United Kingdom"/>
    <n v="16250"/>
    <n v="15.9"/>
  </r>
  <r>
    <n v="536365"/>
    <x v="34"/>
    <s v="SET 7 BABUSHKA NESTING BOXES"/>
    <n v="2"/>
    <d v="2024-08-31T00:00:00"/>
    <n v="7.65"/>
    <s v="United Kingdom"/>
    <n v="17850"/>
    <n v="15.3"/>
  </r>
  <r>
    <n v="536373"/>
    <x v="34"/>
    <s v="SET 7 BABUSHKA NESTING BOXES"/>
    <n v="2"/>
    <d v="2024-03-27T00:00:00"/>
    <n v="7.65"/>
    <s v="United Kingdom"/>
    <n v="17850"/>
    <n v="15.3"/>
  </r>
  <r>
    <n v="536375"/>
    <x v="34"/>
    <s v="SET 7 BABUSHKA NESTING BOXES"/>
    <n v="2"/>
    <d v="2024-01-25T00:00:00"/>
    <n v="7.65"/>
    <s v="United Kingdom"/>
    <n v="17850"/>
    <n v="15.3"/>
  </r>
  <r>
    <n v="536365"/>
    <x v="6"/>
    <s v="WHITE HANGING HEART T-LIGHT HOLDER"/>
    <n v="6"/>
    <d v="2024-03-09T00:00:00"/>
    <n v="2.55"/>
    <s v="United Kingdom"/>
    <n v="17850"/>
    <n v="15.299999999999999"/>
  </r>
  <r>
    <n v="536373"/>
    <x v="6"/>
    <s v="WHITE HANGING HEART T-LIGHT HOLDER"/>
    <n v="6"/>
    <d v="2024-07-06T00:00:00"/>
    <n v="2.55"/>
    <s v="United Kingdom"/>
    <n v="17850"/>
    <n v="15.299999999999999"/>
  </r>
  <r>
    <n v="536373"/>
    <x v="35"/>
    <s v="WOODEN FRAME ANTIQUE WHITE "/>
    <n v="6"/>
    <d v="2024-04-21T00:00:00"/>
    <n v="2.55"/>
    <s v="United Kingdom"/>
    <n v="17850"/>
    <n v="15.299999999999999"/>
  </r>
  <r>
    <n v="536375"/>
    <x v="6"/>
    <s v="WHITE HANGING HEART T-LIGHT HOLDER"/>
    <n v="6"/>
    <d v="2024-09-25T00:00:00"/>
    <n v="2.55"/>
    <s v="United Kingdom"/>
    <n v="17850"/>
    <n v="15.299999999999999"/>
  </r>
  <r>
    <n v="536375"/>
    <x v="35"/>
    <s v="WOODEN FRAME ANTIQUE WHITE "/>
    <n v="6"/>
    <d v="2024-07-19T00:00:00"/>
    <n v="2.55"/>
    <s v="United Kingdom"/>
    <n v="17850"/>
    <n v="15.299999999999999"/>
  </r>
  <r>
    <n v="536382"/>
    <x v="18"/>
    <s v="ALARM CLOCK BAKELIKE GREEN"/>
    <n v="4"/>
    <d v="2024-11-19T00:00:00"/>
    <n v="3.75"/>
    <s v="United Kingdom"/>
    <n v="16098"/>
    <n v="15"/>
  </r>
  <r>
    <n v="536389"/>
    <x v="23"/>
    <s v="VINTAGE HEADS AND TAILS CARD GAME "/>
    <n v="12"/>
    <d v="2024-08-29T00:00:00"/>
    <n v="1.25"/>
    <s v="Australia"/>
    <n v="12431"/>
    <n v="15"/>
  </r>
  <r>
    <n v="536389"/>
    <x v="18"/>
    <s v="ALARM CLOCK BAKELIKE GREEN"/>
    <n v="4"/>
    <d v="2024-08-04T00:00:00"/>
    <n v="3.75"/>
    <s v="Australia"/>
    <n v="12431"/>
    <n v="15"/>
  </r>
  <r>
    <n v="536389"/>
    <x v="9"/>
    <s v="ALARM CLOCK BAKELIKE RED "/>
    <n v="4"/>
    <d v="2024-08-04T00:00:00"/>
    <n v="3.75"/>
    <s v="Australia"/>
    <n v="12431"/>
    <n v="15"/>
  </r>
  <r>
    <n v="536373"/>
    <x v="36"/>
    <s v="WOODEN PICTURE FRAME WHITE FINISH"/>
    <n v="6"/>
    <d v="2024-11-19T00:00:00"/>
    <n v="2.1"/>
    <s v="United Kingdom"/>
    <n v="17850"/>
    <n v="12.600000000000001"/>
  </r>
  <r>
    <n v="536375"/>
    <x v="36"/>
    <s v="WOODEN PICTURE FRAME WHITE FINISH"/>
    <n v="6"/>
    <d v="2024-10-02T00:00:00"/>
    <n v="2.1"/>
    <s v="United Kingdom"/>
    <n v="17850"/>
    <n v="12.600000000000001"/>
  </r>
  <r>
    <n v="536381"/>
    <x v="1"/>
    <s v="PAPER CHAIN KIT 50'S CHRISTMAS "/>
    <n v="4"/>
    <d v="2024-11-19T00:00:00"/>
    <n v="2.95"/>
    <s v="United Kingdom"/>
    <n v="15311"/>
    <n v="11.8"/>
  </r>
  <r>
    <n v="536366"/>
    <x v="2"/>
    <s v="HAND WARMER UNION JACK"/>
    <n v="6"/>
    <d v="2024-11-05T00:00:00"/>
    <n v="1.85"/>
    <s v="United Kingdom"/>
    <n v="17850"/>
    <n v="11.100000000000001"/>
  </r>
  <r>
    <n v="536366"/>
    <x v="3"/>
    <s v="HAND WARMER RED POLKA DOT"/>
    <n v="6"/>
    <d v="2024-02-13T00:00:00"/>
    <n v="1.85"/>
    <s v="United Kingdom"/>
    <n v="17850"/>
    <n v="11.100000000000001"/>
  </r>
  <r>
    <n v="536372"/>
    <x v="3"/>
    <s v="HAND WARMER RED POLKA DOT"/>
    <n v="6"/>
    <d v="2024-08-10T00:00:00"/>
    <n v="1.85"/>
    <s v="United Kingdom"/>
    <n v="17850"/>
    <n v="11.100000000000001"/>
  </r>
  <r>
    <n v="536372"/>
    <x v="2"/>
    <s v="HAND WARMER UNION JACK"/>
    <n v="6"/>
    <d v="2024-07-16T00:00:00"/>
    <n v="1.85"/>
    <s v="United Kingdom"/>
    <n v="17850"/>
    <n v="11.100000000000001"/>
  </r>
  <r>
    <n v="536377"/>
    <x v="3"/>
    <s v="HAND WARMER RED POLKA DOT"/>
    <n v="6"/>
    <d v="2024-10-05T00:00:00"/>
    <n v="1.85"/>
    <s v="United Kingdom"/>
    <n v="17850"/>
    <n v="11.100000000000001"/>
  </r>
  <r>
    <n v="536377"/>
    <x v="2"/>
    <s v="HAND WARMER UNION JACK"/>
    <n v="6"/>
    <d v="2024-09-04T00:00:00"/>
    <n v="1.85"/>
    <s v="United Kingdom"/>
    <n v="17850"/>
    <n v="11.100000000000001"/>
  </r>
  <r>
    <n v="536378"/>
    <x v="13"/>
    <s v="SET/6 RED SPOTTY PAPER PLATES"/>
    <n v="12"/>
    <d v="2024-02-15T00:00:00"/>
    <n v="0.85"/>
    <s v="United Kingdom"/>
    <n v="14688"/>
    <n v="10.2"/>
  </r>
  <r>
    <n v="536382"/>
    <x v="20"/>
    <s v="INFLATABLE POLITICAL GLOBE "/>
    <n v="12"/>
    <d v="2024-10-01T00:00:00"/>
    <n v="0.85"/>
    <s v="United Kingdom"/>
    <n v="16098"/>
    <n v="10.2"/>
  </r>
  <r>
    <n v="536373"/>
    <x v="37"/>
    <s v="WOOD 2 DRAWER CABINET WHITE FINISH"/>
    <n v="2"/>
    <d v="2024-02-08T00:00:00"/>
    <n v="4.95"/>
    <s v="United Kingdom"/>
    <n v="17850"/>
    <n v="9.9"/>
  </r>
  <r>
    <n v="536375"/>
    <x v="37"/>
    <s v="WOOD 2 DRAWER CABINET WHITE FINISH"/>
    <n v="2"/>
    <d v="2024-07-14T00:00:00"/>
    <n v="4.95"/>
    <s v="United Kingdom"/>
    <n v="17850"/>
    <n v="9.9"/>
  </r>
  <r>
    <n v="536373"/>
    <x v="38"/>
    <s v="RETRO COFFEE MUGS ASSORTED"/>
    <n v="6"/>
    <d v="2024-08-12T00:00:00"/>
    <n v="1.06"/>
    <s v="United Kingdom"/>
    <n v="17850"/>
    <n v="6.36"/>
  </r>
  <r>
    <n v="536373"/>
    <x v="39"/>
    <s v="SAVE THE PLANET MUG"/>
    <n v="6"/>
    <d v="2024-10-13T00:00:00"/>
    <n v="1.06"/>
    <s v="United Kingdom"/>
    <n v="17850"/>
    <n v="6.36"/>
  </r>
  <r>
    <n v="536373"/>
    <x v="40"/>
    <s v="VINTAGE BILLBOARD DRINK ME MUG"/>
    <n v="6"/>
    <d v="2024-03-31T00:00:00"/>
    <n v="1.06"/>
    <s v="United Kingdom"/>
    <n v="17850"/>
    <n v="6.36"/>
  </r>
  <r>
    <n v="536373"/>
    <x v="41"/>
    <s v="VINTAGE BILLBOARD LOVE/HATE MUG"/>
    <n v="6"/>
    <d v="2024-06-20T00:00:00"/>
    <n v="1.06"/>
    <s v="United Kingdom"/>
    <n v="17850"/>
    <n v="6.36"/>
  </r>
  <r>
    <n v="536375"/>
    <x v="38"/>
    <s v="RETRO COFFEE MUGS ASSORTED"/>
    <n v="6"/>
    <d v="2024-10-04T00:00:00"/>
    <n v="1.06"/>
    <s v="United Kingdom"/>
    <n v="17850"/>
    <n v="6.36"/>
  </r>
  <r>
    <n v="536375"/>
    <x v="39"/>
    <s v="SAVE THE PLANET MUG"/>
    <n v="6"/>
    <d v="2024-08-12T00:00:00"/>
    <n v="1.06"/>
    <s v="United Kingdom"/>
    <n v="17850"/>
    <n v="6.36"/>
  </r>
  <r>
    <n v="536375"/>
    <x v="40"/>
    <s v="VINTAGE BILLBOARD DRINK ME MUG"/>
    <n v="6"/>
    <d v="2024-05-16T00:00:00"/>
    <n v="1.06"/>
    <s v="United Kingdom"/>
    <n v="17850"/>
    <n v="6.36"/>
  </r>
  <r>
    <n v="536375"/>
    <x v="41"/>
    <s v="VINTAGE BILLBOARD LOVE/HATE MUG"/>
    <n v="6"/>
    <d v="2024-07-28T00:00:00"/>
    <n v="1.06"/>
    <s v="United Kingdom"/>
    <n v="17850"/>
    <n v="6.36"/>
  </r>
  <r>
    <n v="536381"/>
    <x v="17"/>
    <s v="RETROSPOT LARGE MILK JUG"/>
    <n v="1"/>
    <d v="2024-08-05T00:00:00"/>
    <n v="4.95"/>
    <s v="United Kingdom"/>
    <n v="15311"/>
    <n v="4.95"/>
  </r>
  <r>
    <s v="C536383"/>
    <x v="22"/>
    <s v="SET OF 3 COLOURED  FLYING DUCKS"/>
    <n v="1"/>
    <d v="2024-01-05T00:00:00"/>
    <n v="4.65"/>
    <s v="United Kingdom"/>
    <n v="15311"/>
    <n v="4.65"/>
  </r>
  <r>
    <n v="536381"/>
    <x v="42"/>
    <s v="PHOTO CLIP LINE"/>
    <n v="3"/>
    <d v="2024-10-31T00:00:00"/>
    <n v="1.25"/>
    <s v="United Kingdom"/>
    <n v="15311"/>
    <n v="3.75"/>
  </r>
  <r>
    <n v="536381"/>
    <x v="0"/>
    <s v="RED TOADSTOOL LED NIGHT LIGHT"/>
    <n v="2"/>
    <d v="2024-12-04T00:00:00"/>
    <n v="1.65"/>
    <s v="United Kingdom"/>
    <n v="15311"/>
    <n v="3.3"/>
  </r>
  <r>
    <n v="536381"/>
    <x v="42"/>
    <s v="PHOTO CLIP LINE"/>
    <n v="1"/>
    <d v="2024-07-10T00:00:00"/>
    <n v="1.25"/>
    <s v="United Kingdom"/>
    <n v="15311"/>
    <n v="1.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:E46" firstHeaderRow="1" firstDataRow="2" firstDataCol="1"/>
  <pivotFields count="9">
    <pivotField showAll="0"/>
    <pivotField axis="axisRow" showAll="0" sortType="descending">
      <items count="44">
        <item x="6"/>
        <item x="4"/>
        <item x="5"/>
        <item x="27"/>
        <item x="10"/>
        <item x="29"/>
        <item x="35"/>
        <item x="22"/>
        <item x="15"/>
        <item x="25"/>
        <item x="37"/>
        <item x="36"/>
        <item x="42"/>
        <item x="28"/>
        <item x="38"/>
        <item x="7"/>
        <item x="21"/>
        <item x="19"/>
        <item x="16"/>
        <item x="11"/>
        <item x="34"/>
        <item x="9"/>
        <item x="18"/>
        <item x="2"/>
        <item x="3"/>
        <item x="14"/>
        <item x="30"/>
        <item x="31"/>
        <item x="1"/>
        <item x="39"/>
        <item x="23"/>
        <item x="33"/>
        <item x="32"/>
        <item x="0"/>
        <item x="26"/>
        <item x="17"/>
        <item x="12"/>
        <item x="8"/>
        <item x="13"/>
        <item x="40"/>
        <item x="41"/>
        <item x="24"/>
        <item x="20"/>
        <item t="default"/>
      </items>
    </pivotField>
    <pivotField showAll="0"/>
    <pivotField dataField="1" showAll="0"/>
    <pivotField numFmtId="164" showAll="0"/>
    <pivotField showAll="0"/>
    <pivotField showAll="0"/>
    <pivotField showAll="0"/>
    <pivotField dataField="1" numFmtId="2" showAll="0"/>
  </pivotFields>
  <rowFields count="1">
    <field x="1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Quantity" fld="3" baseField="0" baseItem="0"/>
    <dataField name="Count of Quantity" fld="3" subtotal="count" baseField="0" baseItem="0"/>
    <dataField name="StdDev of Quantity" fld="3" subtotal="stdDev" baseField="0" baseItem="0"/>
    <dataField name="Sum of Revenue" fld="8" baseField="0" baseItem="0" numFmtId="165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workbookViewId="0">
      <selection sqref="A1:D1"/>
    </sheetView>
  </sheetViews>
  <sheetFormatPr defaultRowHeight="15" x14ac:dyDescent="0.25"/>
  <cols>
    <col min="1" max="1" width="25" style="1" bestFit="1" customWidth="1"/>
    <col min="2" max="2" width="28" style="1" customWidth="1"/>
    <col min="3" max="3" width="31.85546875" style="1" customWidth="1"/>
    <col min="4" max="4" width="40" style="1" customWidth="1"/>
    <col min="5" max="16384" width="9.140625" style="1"/>
  </cols>
  <sheetData>
    <row r="1" spans="1:12" ht="21" x14ac:dyDescent="0.35">
      <c r="A1" s="98" t="s">
        <v>0</v>
      </c>
      <c r="B1" s="98"/>
      <c r="C1" s="98"/>
      <c r="D1" s="98"/>
      <c r="E1" s="99" t="s">
        <v>1</v>
      </c>
      <c r="F1" s="99"/>
      <c r="G1" s="99"/>
      <c r="H1" s="99"/>
      <c r="I1" s="99"/>
      <c r="J1" s="99"/>
      <c r="K1" s="99"/>
      <c r="L1" s="99"/>
    </row>
    <row r="2" spans="1:12" x14ac:dyDescent="0.25">
      <c r="A2" s="100" t="s">
        <v>2</v>
      </c>
      <c r="B2" s="100"/>
      <c r="C2" s="100"/>
      <c r="D2" s="100"/>
      <c r="E2" s="2"/>
    </row>
    <row r="4" spans="1:12" ht="18.75" x14ac:dyDescent="0.3">
      <c r="A4" s="83" t="s">
        <v>3</v>
      </c>
      <c r="B4" s="84"/>
      <c r="C4" s="84"/>
      <c r="D4" s="85"/>
      <c r="E4" s="3"/>
    </row>
    <row r="5" spans="1:12" x14ac:dyDescent="0.25">
      <c r="A5" s="4" t="s">
        <v>4</v>
      </c>
      <c r="B5" s="101">
        <v>44</v>
      </c>
      <c r="C5" s="102"/>
      <c r="D5" s="103"/>
    </row>
    <row r="6" spans="1:12" x14ac:dyDescent="0.25">
      <c r="A6" s="4" t="s">
        <v>5</v>
      </c>
      <c r="B6" s="86">
        <f>SUM(Inventory_Model!P2:P44)</f>
        <v>2903.1784858219385</v>
      </c>
      <c r="C6" s="87"/>
      <c r="D6" s="88"/>
    </row>
    <row r="7" spans="1:12" x14ac:dyDescent="0.25">
      <c r="A7" s="4" t="s">
        <v>6</v>
      </c>
      <c r="B7" s="89">
        <f>SUM(Baseline_EOQ_Analysis!E2:E44)</f>
        <v>1193.6315141780624</v>
      </c>
      <c r="C7" s="90"/>
      <c r="D7" s="91"/>
    </row>
    <row r="8" spans="1:12" x14ac:dyDescent="0.25">
      <c r="A8" s="4" t="s">
        <v>7</v>
      </c>
      <c r="B8" s="92">
        <f>SUM(Baseline_EOQ_Analysis!F2:F44)</f>
        <v>-4.952237467679538</v>
      </c>
      <c r="C8" s="93"/>
      <c r="D8" s="94"/>
    </row>
    <row r="10" spans="1:12" ht="18.75" x14ac:dyDescent="0.3">
      <c r="A10" s="95" t="s">
        <v>8</v>
      </c>
      <c r="B10" s="96"/>
      <c r="C10" s="96"/>
      <c r="D10" s="97"/>
    </row>
    <row r="11" spans="1:12" x14ac:dyDescent="0.25">
      <c r="A11" s="5" t="s">
        <v>9</v>
      </c>
      <c r="B11" s="6" t="s">
        <v>10</v>
      </c>
      <c r="C11" s="6" t="s">
        <v>11</v>
      </c>
      <c r="D11" s="6" t="s">
        <v>12</v>
      </c>
    </row>
    <row r="12" spans="1:12" x14ac:dyDescent="0.25">
      <c r="A12" s="7" t="s">
        <v>13</v>
      </c>
      <c r="B12" s="8">
        <f>COUNTIF(Inventory_Model!S2:S44,"A")</f>
        <v>43</v>
      </c>
      <c r="C12" s="8" t="s">
        <v>14</v>
      </c>
      <c r="D12" s="9" t="s">
        <v>15</v>
      </c>
    </row>
    <row r="13" spans="1:12" x14ac:dyDescent="0.25">
      <c r="A13" s="7" t="s">
        <v>16</v>
      </c>
      <c r="B13" s="8">
        <f>COUNTIF(Inventory_Model!S2:S44,"B")</f>
        <v>0</v>
      </c>
      <c r="C13" s="8" t="s">
        <v>17</v>
      </c>
      <c r="D13" s="9" t="s">
        <v>18</v>
      </c>
    </row>
    <row r="14" spans="1:12" x14ac:dyDescent="0.25">
      <c r="A14" s="7" t="s">
        <v>19</v>
      </c>
      <c r="B14" s="8">
        <f>COUNTIF(Inventory_Model!S2:S44,"C")</f>
        <v>0</v>
      </c>
      <c r="C14" s="8" t="s">
        <v>20</v>
      </c>
      <c r="D14" s="9" t="s">
        <v>21</v>
      </c>
    </row>
    <row r="16" spans="1:12" ht="18.75" x14ac:dyDescent="0.3">
      <c r="A16" s="80" t="s">
        <v>22</v>
      </c>
      <c r="B16" s="81"/>
      <c r="C16" s="81"/>
      <c r="D16" s="82"/>
    </row>
    <row r="17" spans="1:4" x14ac:dyDescent="0.25">
      <c r="A17" s="10" t="s">
        <v>23</v>
      </c>
      <c r="B17" s="11">
        <v>0.25</v>
      </c>
      <c r="C17" s="10" t="s">
        <v>24</v>
      </c>
      <c r="D17" s="12" t="s">
        <v>25</v>
      </c>
    </row>
    <row r="18" spans="1:4" x14ac:dyDescent="0.25">
      <c r="A18" s="10" t="s">
        <v>26</v>
      </c>
      <c r="B18" s="13">
        <v>100</v>
      </c>
      <c r="C18" s="10" t="s">
        <v>27</v>
      </c>
      <c r="D18" s="12" t="s">
        <v>28</v>
      </c>
    </row>
    <row r="20" spans="1:4" ht="18.75" x14ac:dyDescent="0.3">
      <c r="A20" s="80" t="s">
        <v>29</v>
      </c>
      <c r="B20" s="81"/>
      <c r="C20" s="81"/>
      <c r="D20" s="82"/>
    </row>
    <row r="21" spans="1:4" x14ac:dyDescent="0.25">
      <c r="A21" s="14" t="s">
        <v>30</v>
      </c>
      <c r="B21" s="14" t="s">
        <v>31</v>
      </c>
      <c r="C21" s="14" t="s">
        <v>32</v>
      </c>
      <c r="D21" s="14" t="s">
        <v>33</v>
      </c>
    </row>
    <row r="22" spans="1:4" x14ac:dyDescent="0.25">
      <c r="A22" s="15">
        <v>21731</v>
      </c>
      <c r="B22" s="16">
        <f>Inventory_Model!P2</f>
        <v>199.47635477987455</v>
      </c>
      <c r="C22" s="17" t="str">
        <f>Inventory_Model!S2</f>
        <v>A</v>
      </c>
      <c r="D22" s="18">
        <f>Baseline_EOQ_Analysis!E2</f>
        <v>383.42364522012542</v>
      </c>
    </row>
    <row r="23" spans="1:4" x14ac:dyDescent="0.25">
      <c r="A23" s="15" t="s">
        <v>34</v>
      </c>
      <c r="B23" s="16">
        <f>Inventory_Model!P3</f>
        <v>141.25</v>
      </c>
      <c r="C23" s="17" t="str">
        <f>Inventory_Model!S3</f>
        <v>A</v>
      </c>
      <c r="D23" s="18">
        <f>Baseline_EOQ_Analysis!E3</f>
        <v>188.75</v>
      </c>
    </row>
    <row r="24" spans="1:4" x14ac:dyDescent="0.25">
      <c r="A24" s="15">
        <v>22633</v>
      </c>
      <c r="B24" s="16">
        <f>Inventory_Model!P4</f>
        <v>110.41632861583471</v>
      </c>
      <c r="C24" s="17" t="str">
        <f>Inventory_Model!S4</f>
        <v>A</v>
      </c>
      <c r="D24" s="18">
        <f>Baseline_EOQ_Analysis!E4</f>
        <v>100.48367138416529</v>
      </c>
    </row>
    <row r="25" spans="1:4" x14ac:dyDescent="0.25">
      <c r="A25" s="15">
        <v>22632</v>
      </c>
      <c r="B25" s="16">
        <f>Inventory_Model!P5</f>
        <v>110.41632861583471</v>
      </c>
      <c r="C25" s="17" t="str">
        <f>Inventory_Model!S5</f>
        <v>A</v>
      </c>
      <c r="D25" s="18">
        <f>Baseline_EOQ_Analysis!E5</f>
        <v>100.48367138416529</v>
      </c>
    </row>
    <row r="26" spans="1:4" x14ac:dyDescent="0.25">
      <c r="A26" s="15">
        <v>22086</v>
      </c>
      <c r="B26" s="16">
        <f>Inventory_Model!P6</f>
        <v>106.43073563635289</v>
      </c>
      <c r="C26" s="17" t="str">
        <f>Inventory_Model!S6</f>
        <v>A</v>
      </c>
      <c r="D26" s="18">
        <f>Baseline_EOQ_Analysis!E6</f>
        <v>109.36926436364712</v>
      </c>
    </row>
    <row r="27" spans="1:4" x14ac:dyDescent="0.25">
      <c r="A27" s="15" t="s">
        <v>35</v>
      </c>
      <c r="B27" s="16">
        <f>Inventory_Model!P7</f>
        <v>105.25945352707367</v>
      </c>
      <c r="C27" s="17" t="str">
        <f>Inventory_Model!S7</f>
        <v>A</v>
      </c>
      <c r="D27" s="18">
        <f>Baseline_EOQ_Analysis!E7</f>
        <v>79.240546472926326</v>
      </c>
    </row>
    <row r="28" spans="1:4" x14ac:dyDescent="0.25">
      <c r="A28" s="15" t="s">
        <v>36</v>
      </c>
      <c r="B28" s="16">
        <f>Inventory_Model!P8</f>
        <v>104.85115938796289</v>
      </c>
      <c r="C28" s="17" t="str">
        <f>Inventory_Model!S8</f>
        <v>A</v>
      </c>
      <c r="D28" s="18">
        <f>Baseline_EOQ_Analysis!E8</f>
        <v>104.24884061203713</v>
      </c>
    </row>
    <row r="29" spans="1:4" x14ac:dyDescent="0.25">
      <c r="A29" s="15">
        <v>22969</v>
      </c>
      <c r="B29" s="16">
        <f>Inventory_Model!P9</f>
        <v>96.856906912551509</v>
      </c>
      <c r="C29" s="17" t="str">
        <f>Inventory_Model!S9</f>
        <v>A</v>
      </c>
      <c r="D29" s="18">
        <f>Baseline_EOQ_Analysis!E9</f>
        <v>40.543093087448497</v>
      </c>
    </row>
    <row r="30" spans="1:4" x14ac:dyDescent="0.25">
      <c r="A30" s="15">
        <v>21485</v>
      </c>
      <c r="B30" s="16">
        <f>Inventory_Model!P10</f>
        <v>89.97933790598816</v>
      </c>
      <c r="C30" s="17" t="str">
        <f>Inventory_Model!S10</f>
        <v>A</v>
      </c>
      <c r="D30" s="18">
        <f>Baseline_EOQ_Analysis!E10</f>
        <v>71.420662094011846</v>
      </c>
    </row>
    <row r="31" spans="1:4" x14ac:dyDescent="0.25">
      <c r="A31" s="15">
        <v>21094</v>
      </c>
      <c r="B31" s="16">
        <f>Inventory_Model!P11</f>
        <v>85.670903753841657</v>
      </c>
      <c r="C31" s="17" t="str">
        <f>Inventory_Model!S11</f>
        <v>A</v>
      </c>
      <c r="D31" s="18">
        <f>Baseline_EOQ_Analysis!E11</f>
        <v>-14.030903753841656</v>
      </c>
    </row>
    <row r="32" spans="1:4" x14ac:dyDescent="0.25">
      <c r="A32" s="15">
        <v>22783</v>
      </c>
      <c r="B32" s="16">
        <f>Inventory_Model!P12</f>
        <v>85.183854470785718</v>
      </c>
      <c r="C32" s="17" t="str">
        <f>Inventory_Model!S12</f>
        <v>A</v>
      </c>
      <c r="D32" s="18">
        <f>Baseline_EOQ_Analysis!E12</f>
        <v>2.5661455292142819</v>
      </c>
    </row>
    <row r="34" spans="1:4" ht="18.75" x14ac:dyDescent="0.3">
      <c r="A34" s="83" t="s">
        <v>37</v>
      </c>
      <c r="B34" s="84"/>
      <c r="C34" s="84"/>
      <c r="D34" s="85"/>
    </row>
    <row r="35" spans="1:4" x14ac:dyDescent="0.25">
      <c r="A35" s="19">
        <v>1</v>
      </c>
      <c r="B35" s="79" t="s">
        <v>38</v>
      </c>
      <c r="C35" s="79"/>
      <c r="D35" s="79"/>
    </row>
    <row r="36" spans="1:4" x14ac:dyDescent="0.25">
      <c r="A36" s="19">
        <v>2</v>
      </c>
      <c r="B36" s="79" t="s">
        <v>39</v>
      </c>
      <c r="C36" s="79"/>
      <c r="D36" s="79"/>
    </row>
    <row r="37" spans="1:4" x14ac:dyDescent="0.25">
      <c r="A37" s="19">
        <v>3</v>
      </c>
      <c r="B37" s="79" t="s">
        <v>40</v>
      </c>
      <c r="C37" s="79"/>
      <c r="D37" s="79"/>
    </row>
    <row r="38" spans="1:4" x14ac:dyDescent="0.25">
      <c r="A38" s="19">
        <v>4</v>
      </c>
      <c r="B38" s="79" t="s">
        <v>41</v>
      </c>
      <c r="C38" s="79"/>
      <c r="D38" s="79"/>
    </row>
    <row r="39" spans="1:4" x14ac:dyDescent="0.25">
      <c r="A39" s="19">
        <v>5</v>
      </c>
      <c r="B39" s="79" t="s">
        <v>42</v>
      </c>
      <c r="C39" s="79"/>
      <c r="D39" s="79"/>
    </row>
    <row r="40" spans="1:4" x14ac:dyDescent="0.25">
      <c r="A40" s="19">
        <v>6</v>
      </c>
      <c r="B40" s="79" t="s">
        <v>43</v>
      </c>
      <c r="C40" s="79"/>
      <c r="D40" s="79"/>
    </row>
  </sheetData>
  <mergeCells count="18">
    <mergeCell ref="A1:D1"/>
    <mergeCell ref="E1:L1"/>
    <mergeCell ref="A2:D2"/>
    <mergeCell ref="A4:D4"/>
    <mergeCell ref="B5:D5"/>
    <mergeCell ref="B6:D6"/>
    <mergeCell ref="B7:D7"/>
    <mergeCell ref="B8:D8"/>
    <mergeCell ref="A10:D10"/>
    <mergeCell ref="A16:D16"/>
    <mergeCell ref="B38:D38"/>
    <mergeCell ref="B39:D39"/>
    <mergeCell ref="B40:D40"/>
    <mergeCell ref="A20:D20"/>
    <mergeCell ref="A34:D34"/>
    <mergeCell ref="B35:D35"/>
    <mergeCell ref="B36:D36"/>
    <mergeCell ref="B37:D37"/>
  </mergeCells>
  <pageMargins left="0.70078740157480324" right="0.70078740157480324" top="0.75196850393700787" bottom="0.75196850393700787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"/>
  <sheetViews>
    <sheetView workbookViewId="0">
      <selection sqref="A1:D1"/>
    </sheetView>
  </sheetViews>
  <sheetFormatPr defaultRowHeight="15" x14ac:dyDescent="0.25"/>
  <cols>
    <col min="1" max="1" width="15.5703125" bestFit="1" customWidth="1"/>
    <col min="2" max="2" width="22.28515625" bestFit="1"/>
    <col min="3" max="3" width="60.7109375" customWidth="1"/>
    <col min="4" max="4" width="47" customWidth="1"/>
  </cols>
  <sheetData>
    <row r="1" spans="1:4" ht="18.75" x14ac:dyDescent="0.3">
      <c r="A1" s="108" t="s">
        <v>44</v>
      </c>
      <c r="B1" s="108"/>
      <c r="C1" s="108"/>
      <c r="D1" s="108"/>
    </row>
    <row r="3" spans="1:4" ht="15.75" x14ac:dyDescent="0.25">
      <c r="A3" s="109" t="s">
        <v>45</v>
      </c>
      <c r="B3" s="110"/>
      <c r="C3" s="111"/>
    </row>
    <row r="4" spans="1:4" x14ac:dyDescent="0.25">
      <c r="A4" s="20" t="s">
        <v>46</v>
      </c>
      <c r="B4" s="21" t="s">
        <v>47</v>
      </c>
      <c r="C4" s="22" t="s">
        <v>48</v>
      </c>
    </row>
    <row r="5" spans="1:4" x14ac:dyDescent="0.25">
      <c r="A5" s="23" t="s">
        <v>49</v>
      </c>
      <c r="B5" s="24" t="s">
        <v>50</v>
      </c>
      <c r="C5" s="25" t="s">
        <v>51</v>
      </c>
    </row>
    <row r="6" spans="1:4" x14ac:dyDescent="0.25">
      <c r="A6" s="23" t="s">
        <v>52</v>
      </c>
      <c r="B6" s="24">
        <f>44</f>
        <v>44</v>
      </c>
      <c r="C6" s="25" t="s">
        <v>53</v>
      </c>
    </row>
    <row r="7" spans="1:4" x14ac:dyDescent="0.25">
      <c r="A7" s="23" t="s">
        <v>54</v>
      </c>
      <c r="B7" s="24">
        <f>COUNT(DataSetRaw!H2:H104)</f>
        <v>103</v>
      </c>
      <c r="C7" s="25" t="s">
        <v>55</v>
      </c>
    </row>
    <row r="8" spans="1:4" x14ac:dyDescent="0.25">
      <c r="A8" s="23" t="s">
        <v>56</v>
      </c>
      <c r="B8" s="24" t="s">
        <v>57</v>
      </c>
      <c r="C8" s="25" t="s">
        <v>58</v>
      </c>
    </row>
    <row r="10" spans="1:4" ht="15.75" x14ac:dyDescent="0.25">
      <c r="A10" s="109" t="s">
        <v>59</v>
      </c>
      <c r="B10" s="110"/>
      <c r="C10" s="111"/>
    </row>
    <row r="11" spans="1:4" x14ac:dyDescent="0.25">
      <c r="A11" t="s">
        <v>23</v>
      </c>
      <c r="B11" s="26">
        <f>Inventory_Model!G2</f>
        <v>0.25</v>
      </c>
      <c r="C11" t="s">
        <v>60</v>
      </c>
    </row>
    <row r="12" spans="1:4" x14ac:dyDescent="0.25">
      <c r="A12" t="s">
        <v>61</v>
      </c>
      <c r="B12" s="27">
        <f>Inventory_Model!I2</f>
        <v>100</v>
      </c>
      <c r="C12" t="s">
        <v>62</v>
      </c>
    </row>
    <row r="13" spans="1:4" x14ac:dyDescent="0.25">
      <c r="A13" t="s">
        <v>27</v>
      </c>
      <c r="B13">
        <f>Inventory_Model!J2</f>
        <v>7</v>
      </c>
      <c r="C13" t="s">
        <v>63</v>
      </c>
    </row>
    <row r="14" spans="1:4" x14ac:dyDescent="0.25">
      <c r="A14" t="s">
        <v>64</v>
      </c>
      <c r="B14" t="s">
        <v>65</v>
      </c>
      <c r="C14" t="s">
        <v>66</v>
      </c>
    </row>
    <row r="16" spans="1:4" ht="15.75" x14ac:dyDescent="0.25">
      <c r="A16" s="109" t="s">
        <v>67</v>
      </c>
      <c r="B16" s="110"/>
      <c r="C16" s="111"/>
    </row>
    <row r="17" spans="1:3" x14ac:dyDescent="0.25">
      <c r="A17" s="23" t="s">
        <v>68</v>
      </c>
      <c r="B17" s="24" t="s">
        <v>69</v>
      </c>
      <c r="C17" s="25" t="s">
        <v>70</v>
      </c>
    </row>
    <row r="18" spans="1:3" x14ac:dyDescent="0.25">
      <c r="A18" s="23" t="s">
        <v>71</v>
      </c>
      <c r="B18" s="24" t="s">
        <v>72</v>
      </c>
      <c r="C18" s="25" t="s">
        <v>73</v>
      </c>
    </row>
    <row r="19" spans="1:3" x14ac:dyDescent="0.25">
      <c r="A19" s="23" t="s">
        <v>74</v>
      </c>
      <c r="B19" s="24" t="s">
        <v>75</v>
      </c>
      <c r="C19" s="25" t="s">
        <v>76</v>
      </c>
    </row>
    <row r="20" spans="1:3" x14ac:dyDescent="0.25">
      <c r="A20" s="23" t="s">
        <v>77</v>
      </c>
      <c r="B20" s="24" t="s">
        <v>78</v>
      </c>
      <c r="C20" s="25" t="s">
        <v>79</v>
      </c>
    </row>
    <row r="21" spans="1:3" x14ac:dyDescent="0.25">
      <c r="A21" s="23" t="s">
        <v>80</v>
      </c>
      <c r="B21" s="24" t="s">
        <v>81</v>
      </c>
      <c r="C21" s="25" t="s">
        <v>82</v>
      </c>
    </row>
    <row r="23" spans="1:3" ht="15.75" x14ac:dyDescent="0.25">
      <c r="A23" s="109" t="s">
        <v>83</v>
      </c>
      <c r="B23" s="110"/>
      <c r="C23" s="111"/>
    </row>
    <row r="24" spans="1:3" x14ac:dyDescent="0.25">
      <c r="A24" s="23" t="s">
        <v>84</v>
      </c>
      <c r="B24" s="24" t="s">
        <v>14</v>
      </c>
      <c r="C24" s="25" t="s">
        <v>85</v>
      </c>
    </row>
    <row r="25" spans="1:3" x14ac:dyDescent="0.25">
      <c r="A25" s="23" t="s">
        <v>86</v>
      </c>
      <c r="B25" s="24" t="s">
        <v>17</v>
      </c>
      <c r="C25" s="25" t="s">
        <v>87</v>
      </c>
    </row>
    <row r="26" spans="1:3" x14ac:dyDescent="0.25">
      <c r="A26" s="23" t="s">
        <v>88</v>
      </c>
      <c r="B26" s="24" t="s">
        <v>20</v>
      </c>
      <c r="C26" s="25" t="s">
        <v>89</v>
      </c>
    </row>
    <row r="28" spans="1:3" ht="15.75" x14ac:dyDescent="0.25">
      <c r="A28" s="107" t="s">
        <v>90</v>
      </c>
      <c r="B28" s="107"/>
      <c r="C28" s="107"/>
    </row>
    <row r="29" spans="1:3" x14ac:dyDescent="0.25">
      <c r="A29" s="104" t="s">
        <v>91</v>
      </c>
      <c r="B29" s="105"/>
      <c r="C29" s="106"/>
    </row>
    <row r="30" spans="1:3" x14ac:dyDescent="0.25">
      <c r="A30" s="104" t="s">
        <v>92</v>
      </c>
      <c r="B30" s="105"/>
      <c r="C30" s="106"/>
    </row>
    <row r="31" spans="1:3" x14ac:dyDescent="0.25">
      <c r="A31" s="104" t="s">
        <v>93</v>
      </c>
      <c r="B31" s="105"/>
      <c r="C31" s="106"/>
    </row>
    <row r="32" spans="1:3" x14ac:dyDescent="0.25">
      <c r="A32" s="104" t="s">
        <v>94</v>
      </c>
      <c r="B32" s="105"/>
      <c r="C32" s="106"/>
    </row>
    <row r="33" spans="1:3" x14ac:dyDescent="0.25">
      <c r="A33" s="104" t="s">
        <v>95</v>
      </c>
      <c r="B33" s="105"/>
      <c r="C33" s="106"/>
    </row>
    <row r="34" spans="1:3" x14ac:dyDescent="0.25">
      <c r="A34" s="104" t="s">
        <v>96</v>
      </c>
      <c r="B34" s="105"/>
      <c r="C34" s="106"/>
    </row>
  </sheetData>
  <mergeCells count="12">
    <mergeCell ref="A1:D1"/>
    <mergeCell ref="A3:C3"/>
    <mergeCell ref="A10:C10"/>
    <mergeCell ref="A16:C16"/>
    <mergeCell ref="A23:C23"/>
    <mergeCell ref="A33:C33"/>
    <mergeCell ref="A34:C34"/>
    <mergeCell ref="A28:C28"/>
    <mergeCell ref="A29:C29"/>
    <mergeCell ref="A30:C30"/>
    <mergeCell ref="A31:C31"/>
    <mergeCell ref="A32:C32"/>
  </mergeCells>
  <pageMargins left="0.70078740157480324" right="0.70078740157480324" top="0.75196850393700787" bottom="0.75196850393700787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61"/>
  <sheetViews>
    <sheetView workbookViewId="0">
      <selection activeCell="L23" sqref="L23"/>
    </sheetView>
  </sheetViews>
  <sheetFormatPr defaultRowHeight="15" x14ac:dyDescent="0.25"/>
  <cols>
    <col min="1" max="1" width="8.85546875" style="28" bestFit="1"/>
    <col min="2" max="2" width="7.28515625" style="29" bestFit="1"/>
    <col min="3" max="3" width="40.140625" style="28" bestFit="1"/>
    <col min="4" max="4" width="10.85546875" style="28" bestFit="1"/>
    <col min="5" max="5" width="14.140625" style="28" bestFit="1" customWidth="1"/>
    <col min="6" max="6" width="6.42578125" style="30" bestFit="1" customWidth="1"/>
    <col min="7" max="7" width="14.5703125" bestFit="1"/>
    <col min="8" max="8" width="14.42578125" bestFit="1"/>
    <col min="9" max="9" width="10.28515625" style="31" bestFit="1" customWidth="1"/>
    <col min="10" max="16384" width="9.140625" style="28"/>
  </cols>
  <sheetData>
    <row r="1" spans="1:11" ht="18.75" x14ac:dyDescent="0.3">
      <c r="A1" s="32" t="s">
        <v>97</v>
      </c>
      <c r="B1" s="33" t="s">
        <v>30</v>
      </c>
      <c r="C1" s="32" t="s">
        <v>98</v>
      </c>
      <c r="D1" s="32" t="s">
        <v>99</v>
      </c>
      <c r="E1" s="32" t="s">
        <v>100</v>
      </c>
      <c r="F1" s="34" t="s">
        <v>101</v>
      </c>
      <c r="G1" s="32" t="s">
        <v>102</v>
      </c>
      <c r="H1" s="32" t="s">
        <v>103</v>
      </c>
      <c r="I1" s="35" t="s">
        <v>104</v>
      </c>
      <c r="K1"/>
    </row>
    <row r="2" spans="1:11" x14ac:dyDescent="0.25">
      <c r="A2" s="36">
        <v>536387</v>
      </c>
      <c r="B2" s="37">
        <v>21731</v>
      </c>
      <c r="C2" s="36" t="s">
        <v>105</v>
      </c>
      <c r="D2" s="36">
        <v>432</v>
      </c>
      <c r="E2" s="38">
        <v>45584</v>
      </c>
      <c r="F2" s="36">
        <v>1.25</v>
      </c>
      <c r="G2" s="36" t="s">
        <v>106</v>
      </c>
      <c r="H2" s="36">
        <v>16029</v>
      </c>
      <c r="I2" s="39">
        <f t="shared" ref="I2:I9" si="0">D2*F2</f>
        <v>540</v>
      </c>
      <c r="K2"/>
    </row>
    <row r="3" spans="1:11" x14ac:dyDescent="0.25">
      <c r="A3" s="40">
        <v>536371</v>
      </c>
      <c r="B3" s="41">
        <v>22086</v>
      </c>
      <c r="C3" s="40" t="s">
        <v>107</v>
      </c>
      <c r="D3" s="40">
        <v>80</v>
      </c>
      <c r="E3" s="42">
        <v>45413</v>
      </c>
      <c r="F3" s="40">
        <v>2.5499999999999998</v>
      </c>
      <c r="G3" s="40" t="s">
        <v>106</v>
      </c>
      <c r="H3" s="40">
        <v>13748</v>
      </c>
      <c r="I3" s="43">
        <f t="shared" si="0"/>
        <v>204</v>
      </c>
      <c r="K3"/>
    </row>
    <row r="4" spans="1:11" x14ac:dyDescent="0.25">
      <c r="A4" s="40">
        <v>536394</v>
      </c>
      <c r="B4" s="41">
        <v>22633</v>
      </c>
      <c r="C4" s="40" t="s">
        <v>108</v>
      </c>
      <c r="D4" s="40">
        <v>96</v>
      </c>
      <c r="E4" s="42">
        <v>45368</v>
      </c>
      <c r="F4" s="40">
        <v>1.85</v>
      </c>
      <c r="G4" s="40" t="s">
        <v>106</v>
      </c>
      <c r="H4" s="40">
        <v>13408</v>
      </c>
      <c r="I4" s="43">
        <f t="shared" si="0"/>
        <v>177.60000000000002</v>
      </c>
      <c r="K4"/>
    </row>
    <row r="5" spans="1:11" x14ac:dyDescent="0.25">
      <c r="A5" s="40">
        <v>536394</v>
      </c>
      <c r="B5" s="41">
        <v>22632</v>
      </c>
      <c r="C5" s="40" t="s">
        <v>109</v>
      </c>
      <c r="D5" s="40">
        <v>96</v>
      </c>
      <c r="E5" s="42">
        <v>45335</v>
      </c>
      <c r="F5" s="40">
        <v>1.85</v>
      </c>
      <c r="G5" s="40" t="s">
        <v>106</v>
      </c>
      <c r="H5" s="40">
        <v>13408</v>
      </c>
      <c r="I5" s="43">
        <f t="shared" si="0"/>
        <v>177.60000000000002</v>
      </c>
      <c r="K5"/>
    </row>
    <row r="6" spans="1:11" x14ac:dyDescent="0.25">
      <c r="A6" s="40">
        <v>536386</v>
      </c>
      <c r="B6" s="41" t="s">
        <v>35</v>
      </c>
      <c r="C6" s="40" t="s">
        <v>110</v>
      </c>
      <c r="D6" s="40">
        <v>100</v>
      </c>
      <c r="E6" s="42">
        <v>45610</v>
      </c>
      <c r="F6" s="40">
        <v>1.65</v>
      </c>
      <c r="G6" s="40" t="s">
        <v>106</v>
      </c>
      <c r="H6" s="40">
        <v>16029</v>
      </c>
      <c r="I6" s="43">
        <f t="shared" si="0"/>
        <v>165</v>
      </c>
      <c r="K6"/>
    </row>
    <row r="7" spans="1:11" x14ac:dyDescent="0.25">
      <c r="A7" s="40">
        <v>536386</v>
      </c>
      <c r="B7" s="41" t="s">
        <v>34</v>
      </c>
      <c r="C7" s="40" t="s">
        <v>111</v>
      </c>
      <c r="D7" s="40">
        <v>100</v>
      </c>
      <c r="E7" s="42">
        <v>45581</v>
      </c>
      <c r="F7" s="40">
        <v>1.65</v>
      </c>
      <c r="G7" s="40" t="s">
        <v>106</v>
      </c>
      <c r="H7" s="40">
        <v>16029</v>
      </c>
      <c r="I7" s="43">
        <f t="shared" si="0"/>
        <v>165</v>
      </c>
      <c r="K7"/>
    </row>
    <row r="8" spans="1:11" x14ac:dyDescent="0.25">
      <c r="A8" s="40">
        <v>536390</v>
      </c>
      <c r="B8" s="41" t="s">
        <v>34</v>
      </c>
      <c r="C8" s="40" t="s">
        <v>111</v>
      </c>
      <c r="D8" s="40">
        <v>100</v>
      </c>
      <c r="E8" s="42">
        <v>45388</v>
      </c>
      <c r="F8" s="40">
        <v>1.65</v>
      </c>
      <c r="G8" s="40" t="s">
        <v>106</v>
      </c>
      <c r="H8" s="40">
        <v>17511</v>
      </c>
      <c r="I8" s="43">
        <f t="shared" si="0"/>
        <v>165</v>
      </c>
      <c r="K8"/>
    </row>
    <row r="9" spans="1:11" x14ac:dyDescent="0.25">
      <c r="A9" s="40">
        <v>536390</v>
      </c>
      <c r="B9" s="41" t="s">
        <v>36</v>
      </c>
      <c r="C9" s="40" t="s">
        <v>112</v>
      </c>
      <c r="D9" s="40">
        <v>64</v>
      </c>
      <c r="E9" s="42">
        <v>45329</v>
      </c>
      <c r="F9" s="40">
        <v>2.5499999999999998</v>
      </c>
      <c r="G9" s="40" t="s">
        <v>106</v>
      </c>
      <c r="H9" s="40">
        <v>17511</v>
      </c>
      <c r="I9" s="43">
        <f t="shared" si="0"/>
        <v>163.19999999999999</v>
      </c>
      <c r="K9"/>
    </row>
    <row r="10" spans="1:11" x14ac:dyDescent="0.25">
      <c r="A10" s="40">
        <v>536390</v>
      </c>
      <c r="B10" s="41">
        <v>22969</v>
      </c>
      <c r="C10" s="40" t="s">
        <v>113</v>
      </c>
      <c r="D10" s="40">
        <v>96</v>
      </c>
      <c r="E10" s="42">
        <v>45339</v>
      </c>
      <c r="F10" s="40">
        <v>1.25</v>
      </c>
      <c r="G10" s="40" t="s">
        <v>106</v>
      </c>
      <c r="H10" s="40">
        <v>17511</v>
      </c>
      <c r="I10" s="43">
        <f t="shared" ref="I10:I73" si="1">D10*F10</f>
        <v>120</v>
      </c>
      <c r="K10"/>
    </row>
    <row r="11" spans="1:11" x14ac:dyDescent="0.25">
      <c r="A11" s="40">
        <v>536390</v>
      </c>
      <c r="B11" s="41">
        <v>21485</v>
      </c>
      <c r="C11" s="40" t="s">
        <v>114</v>
      </c>
      <c r="D11" s="40">
        <v>24</v>
      </c>
      <c r="E11" s="42">
        <v>45620</v>
      </c>
      <c r="F11" s="40">
        <v>4.25</v>
      </c>
      <c r="G11" s="40" t="s">
        <v>106</v>
      </c>
      <c r="H11" s="40">
        <v>17511</v>
      </c>
      <c r="I11" s="43">
        <f t="shared" si="1"/>
        <v>102</v>
      </c>
      <c r="K11"/>
    </row>
    <row r="12" spans="1:11" x14ac:dyDescent="0.25">
      <c r="A12" s="40">
        <v>536370</v>
      </c>
      <c r="B12" s="41">
        <v>22727</v>
      </c>
      <c r="C12" s="40" t="s">
        <v>115</v>
      </c>
      <c r="D12" s="40">
        <v>24</v>
      </c>
      <c r="E12" s="42">
        <v>45479</v>
      </c>
      <c r="F12" s="40">
        <v>3.75</v>
      </c>
      <c r="G12" s="40" t="s">
        <v>116</v>
      </c>
      <c r="H12" s="40">
        <v>12583</v>
      </c>
      <c r="I12" s="43">
        <f t="shared" si="1"/>
        <v>90</v>
      </c>
      <c r="K12"/>
    </row>
    <row r="13" spans="1:11" x14ac:dyDescent="0.25">
      <c r="A13" s="40">
        <v>536390</v>
      </c>
      <c r="B13" s="41" t="s">
        <v>117</v>
      </c>
      <c r="C13" s="40" t="s">
        <v>118</v>
      </c>
      <c r="D13" s="40">
        <v>24</v>
      </c>
      <c r="E13" s="42">
        <v>45653</v>
      </c>
      <c r="F13" s="40">
        <v>3.39</v>
      </c>
      <c r="G13" s="40" t="s">
        <v>106</v>
      </c>
      <c r="H13" s="40">
        <v>17511</v>
      </c>
      <c r="I13" s="43">
        <f t="shared" si="1"/>
        <v>81.36</v>
      </c>
      <c r="K13"/>
    </row>
    <row r="14" spans="1:11" x14ac:dyDescent="0.25">
      <c r="A14" s="40">
        <v>536382</v>
      </c>
      <c r="B14" s="41">
        <v>22783</v>
      </c>
      <c r="C14" s="40" t="s">
        <v>119</v>
      </c>
      <c r="D14" s="40">
        <v>4</v>
      </c>
      <c r="E14" s="42">
        <v>45533</v>
      </c>
      <c r="F14" s="40">
        <v>16.95</v>
      </c>
      <c r="G14" s="40" t="s">
        <v>106</v>
      </c>
      <c r="H14" s="40">
        <v>16098</v>
      </c>
      <c r="I14" s="43">
        <f t="shared" si="1"/>
        <v>67.8</v>
      </c>
      <c r="K14"/>
    </row>
    <row r="15" spans="1:11" x14ac:dyDescent="0.25">
      <c r="A15" s="40">
        <v>536381</v>
      </c>
      <c r="B15" s="41">
        <v>21523</v>
      </c>
      <c r="C15" s="40" t="s">
        <v>120</v>
      </c>
      <c r="D15" s="40">
        <v>10</v>
      </c>
      <c r="E15" s="42">
        <v>45524</v>
      </c>
      <c r="F15" s="40">
        <v>6.75</v>
      </c>
      <c r="G15" s="40" t="s">
        <v>106</v>
      </c>
      <c r="H15" s="40">
        <v>15311</v>
      </c>
      <c r="I15" s="43">
        <f t="shared" si="1"/>
        <v>67.5</v>
      </c>
      <c r="K15"/>
    </row>
    <row r="16" spans="1:11" x14ac:dyDescent="0.25">
      <c r="A16" s="40">
        <v>536390</v>
      </c>
      <c r="B16" s="41">
        <v>21094</v>
      </c>
      <c r="C16" s="40" t="s">
        <v>121</v>
      </c>
      <c r="D16" s="40">
        <v>96</v>
      </c>
      <c r="E16" s="42">
        <v>45422</v>
      </c>
      <c r="F16" s="40">
        <v>0.64</v>
      </c>
      <c r="G16" s="40" t="s">
        <v>106</v>
      </c>
      <c r="H16" s="40">
        <v>17511</v>
      </c>
      <c r="I16" s="43">
        <f t="shared" si="1"/>
        <v>61.44</v>
      </c>
      <c r="K16"/>
    </row>
    <row r="17" spans="1:11" x14ac:dyDescent="0.25">
      <c r="A17" s="40">
        <v>536394</v>
      </c>
      <c r="B17" s="41">
        <v>21485</v>
      </c>
      <c r="C17" s="40" t="s">
        <v>114</v>
      </c>
      <c r="D17" s="40">
        <v>12</v>
      </c>
      <c r="E17" s="42">
        <v>45445</v>
      </c>
      <c r="F17" s="40">
        <v>4.95</v>
      </c>
      <c r="G17" s="40" t="s">
        <v>106</v>
      </c>
      <c r="H17" s="40">
        <v>13408</v>
      </c>
      <c r="I17" s="43">
        <f t="shared" si="1"/>
        <v>59.400000000000006</v>
      </c>
      <c r="K17"/>
    </row>
    <row r="18" spans="1:11" x14ac:dyDescent="0.25">
      <c r="A18" s="40">
        <v>536384</v>
      </c>
      <c r="B18" s="41">
        <v>22469</v>
      </c>
      <c r="C18" s="40" t="s">
        <v>122</v>
      </c>
      <c r="D18" s="40">
        <v>40</v>
      </c>
      <c r="E18" s="42">
        <v>45535</v>
      </c>
      <c r="F18" s="40">
        <v>1.45</v>
      </c>
      <c r="G18" s="40" t="s">
        <v>106</v>
      </c>
      <c r="H18" s="40">
        <v>18074</v>
      </c>
      <c r="I18" s="43">
        <f t="shared" si="1"/>
        <v>58</v>
      </c>
      <c r="K18"/>
    </row>
    <row r="19" spans="1:11" x14ac:dyDescent="0.25">
      <c r="A19" s="40">
        <v>536367</v>
      </c>
      <c r="B19" s="41">
        <v>84879</v>
      </c>
      <c r="C19" s="40" t="s">
        <v>123</v>
      </c>
      <c r="D19" s="40">
        <v>32</v>
      </c>
      <c r="E19" s="42">
        <v>45486</v>
      </c>
      <c r="F19" s="40">
        <v>1.69</v>
      </c>
      <c r="G19" s="40" t="s">
        <v>106</v>
      </c>
      <c r="H19" s="40">
        <v>13047</v>
      </c>
      <c r="I19" s="43">
        <f t="shared" si="1"/>
        <v>54.08</v>
      </c>
      <c r="K19"/>
    </row>
    <row r="20" spans="1:11" x14ac:dyDescent="0.25">
      <c r="A20" s="40">
        <v>536389</v>
      </c>
      <c r="B20" s="41">
        <v>22941</v>
      </c>
      <c r="C20" s="40" t="s">
        <v>124</v>
      </c>
      <c r="D20" s="40">
        <v>6</v>
      </c>
      <c r="E20" s="42">
        <v>45327</v>
      </c>
      <c r="F20" s="40">
        <v>8.5</v>
      </c>
      <c r="G20" s="40" t="s">
        <v>125</v>
      </c>
      <c r="H20" s="40">
        <v>12431</v>
      </c>
      <c r="I20" s="43">
        <f t="shared" si="1"/>
        <v>51</v>
      </c>
      <c r="K20"/>
    </row>
    <row r="21" spans="1:11" x14ac:dyDescent="0.25">
      <c r="A21" s="40">
        <v>536390</v>
      </c>
      <c r="B21" s="41">
        <v>21533</v>
      </c>
      <c r="C21" s="40" t="s">
        <v>126</v>
      </c>
      <c r="D21" s="40">
        <v>12</v>
      </c>
      <c r="E21" s="42">
        <v>45505</v>
      </c>
      <c r="F21" s="40">
        <v>4.25</v>
      </c>
      <c r="G21" s="40" t="s">
        <v>106</v>
      </c>
      <c r="H21" s="40">
        <v>17511</v>
      </c>
      <c r="I21" s="43">
        <f t="shared" si="1"/>
        <v>51</v>
      </c>
      <c r="K21"/>
    </row>
    <row r="22" spans="1:11" x14ac:dyDescent="0.25">
      <c r="A22" s="40">
        <v>536370</v>
      </c>
      <c r="B22" s="41">
        <v>22726</v>
      </c>
      <c r="C22" s="40" t="s">
        <v>127</v>
      </c>
      <c r="D22" s="40">
        <v>12</v>
      </c>
      <c r="E22" s="42">
        <v>45656</v>
      </c>
      <c r="F22" s="40">
        <v>3.75</v>
      </c>
      <c r="G22" s="40" t="s">
        <v>116</v>
      </c>
      <c r="H22" s="40">
        <v>12583</v>
      </c>
      <c r="I22" s="43">
        <f t="shared" si="1"/>
        <v>45</v>
      </c>
      <c r="K22"/>
    </row>
    <row r="23" spans="1:11" x14ac:dyDescent="0.25">
      <c r="A23" s="40">
        <v>536390</v>
      </c>
      <c r="B23" s="41">
        <v>22960</v>
      </c>
      <c r="C23" s="40" t="s">
        <v>128</v>
      </c>
      <c r="D23" s="40">
        <v>12</v>
      </c>
      <c r="E23" s="42">
        <v>45321</v>
      </c>
      <c r="F23" s="40">
        <v>3.75</v>
      </c>
      <c r="G23" s="40" t="s">
        <v>106</v>
      </c>
      <c r="H23" s="40">
        <v>17511</v>
      </c>
      <c r="I23" s="43">
        <f t="shared" si="1"/>
        <v>45</v>
      </c>
      <c r="K23"/>
    </row>
    <row r="24" spans="1:11" x14ac:dyDescent="0.25">
      <c r="A24" s="40">
        <v>536370</v>
      </c>
      <c r="B24" s="41">
        <v>10002</v>
      </c>
      <c r="C24" s="40" t="s">
        <v>129</v>
      </c>
      <c r="D24" s="40">
        <v>48</v>
      </c>
      <c r="E24" s="42">
        <v>45554</v>
      </c>
      <c r="F24" s="40">
        <v>0.85</v>
      </c>
      <c r="G24" s="40" t="s">
        <v>116</v>
      </c>
      <c r="H24" s="40">
        <v>12583</v>
      </c>
      <c r="I24" s="43">
        <f t="shared" si="1"/>
        <v>40.799999999999997</v>
      </c>
      <c r="K24"/>
    </row>
    <row r="25" spans="1:11" x14ac:dyDescent="0.25">
      <c r="A25" s="40">
        <v>536370</v>
      </c>
      <c r="B25" s="41">
        <v>21731</v>
      </c>
      <c r="C25" s="40" t="s">
        <v>105</v>
      </c>
      <c r="D25" s="40">
        <v>24</v>
      </c>
      <c r="E25" s="42">
        <v>45423</v>
      </c>
      <c r="F25" s="40">
        <v>1.65</v>
      </c>
      <c r="G25" s="40" t="s">
        <v>116</v>
      </c>
      <c r="H25" s="40">
        <v>12583</v>
      </c>
      <c r="I25" s="43">
        <f t="shared" si="1"/>
        <v>39.599999999999994</v>
      </c>
      <c r="K25"/>
    </row>
    <row r="26" spans="1:11" x14ac:dyDescent="0.25">
      <c r="A26" s="40">
        <v>536380</v>
      </c>
      <c r="B26" s="41">
        <v>22961</v>
      </c>
      <c r="C26" s="40" t="s">
        <v>130</v>
      </c>
      <c r="D26" s="40">
        <v>24</v>
      </c>
      <c r="E26" s="42">
        <v>45618</v>
      </c>
      <c r="F26" s="40">
        <v>1.45</v>
      </c>
      <c r="G26" s="40" t="s">
        <v>106</v>
      </c>
      <c r="H26" s="40">
        <v>17809</v>
      </c>
      <c r="I26" s="43">
        <f t="shared" si="1"/>
        <v>34.799999999999997</v>
      </c>
      <c r="K26"/>
    </row>
    <row r="27" spans="1:11" x14ac:dyDescent="0.25">
      <c r="A27" s="40">
        <v>536389</v>
      </c>
      <c r="B27" s="41" t="s">
        <v>131</v>
      </c>
      <c r="C27" s="40" t="s">
        <v>132</v>
      </c>
      <c r="D27" s="40">
        <v>6</v>
      </c>
      <c r="E27" s="42">
        <v>45504</v>
      </c>
      <c r="F27" s="40">
        <v>5.45</v>
      </c>
      <c r="G27" s="40" t="s">
        <v>125</v>
      </c>
      <c r="H27" s="40">
        <v>12431</v>
      </c>
      <c r="I27" s="43">
        <f t="shared" si="1"/>
        <v>32.700000000000003</v>
      </c>
      <c r="K27"/>
    </row>
    <row r="28" spans="1:11" x14ac:dyDescent="0.25">
      <c r="A28" s="40">
        <v>536370</v>
      </c>
      <c r="B28" s="41">
        <v>21791</v>
      </c>
      <c r="C28" s="40" t="s">
        <v>133</v>
      </c>
      <c r="D28" s="40">
        <v>24</v>
      </c>
      <c r="E28" s="42">
        <v>45556</v>
      </c>
      <c r="F28" s="40">
        <v>1.25</v>
      </c>
      <c r="G28" s="40" t="s">
        <v>116</v>
      </c>
      <c r="H28" s="40">
        <v>12583</v>
      </c>
      <c r="I28" s="43">
        <f t="shared" si="1"/>
        <v>30</v>
      </c>
      <c r="K28"/>
    </row>
    <row r="29" spans="1:11" x14ac:dyDescent="0.25">
      <c r="A29" s="40">
        <v>536373</v>
      </c>
      <c r="B29" s="41">
        <v>20679</v>
      </c>
      <c r="C29" s="40" t="s">
        <v>134</v>
      </c>
      <c r="D29" s="40">
        <v>6</v>
      </c>
      <c r="E29" s="42">
        <v>45523</v>
      </c>
      <c r="F29" s="40">
        <v>4.95</v>
      </c>
      <c r="G29" s="40" t="s">
        <v>106</v>
      </c>
      <c r="H29" s="40">
        <v>17850</v>
      </c>
      <c r="I29" s="43">
        <f t="shared" si="1"/>
        <v>29.700000000000003</v>
      </c>
      <c r="K29"/>
    </row>
    <row r="30" spans="1:11" x14ac:dyDescent="0.25">
      <c r="A30" s="40">
        <v>536375</v>
      </c>
      <c r="B30" s="41">
        <v>20679</v>
      </c>
      <c r="C30" s="40" t="s">
        <v>134</v>
      </c>
      <c r="D30" s="40">
        <v>6</v>
      </c>
      <c r="E30" s="42">
        <v>45588</v>
      </c>
      <c r="F30" s="40">
        <v>4.95</v>
      </c>
      <c r="G30" s="40" t="s">
        <v>106</v>
      </c>
      <c r="H30" s="40">
        <v>17850</v>
      </c>
      <c r="I30" s="43">
        <f t="shared" si="1"/>
        <v>29.700000000000003</v>
      </c>
      <c r="K30"/>
    </row>
    <row r="31" spans="1:11" x14ac:dyDescent="0.25">
      <c r="A31" s="40">
        <v>536373</v>
      </c>
      <c r="B31" s="41">
        <v>82486</v>
      </c>
      <c r="C31" s="40" t="s">
        <v>135</v>
      </c>
      <c r="D31" s="40">
        <v>4</v>
      </c>
      <c r="E31" s="42">
        <v>45348</v>
      </c>
      <c r="F31" s="40">
        <v>6.95</v>
      </c>
      <c r="G31" s="40" t="s">
        <v>106</v>
      </c>
      <c r="H31" s="40">
        <v>17850</v>
      </c>
      <c r="I31" s="43">
        <f t="shared" si="1"/>
        <v>27.8</v>
      </c>
      <c r="K31"/>
    </row>
    <row r="32" spans="1:11" x14ac:dyDescent="0.25">
      <c r="A32" s="40">
        <v>536375</v>
      </c>
      <c r="B32" s="41">
        <v>82486</v>
      </c>
      <c r="C32" s="40" t="s">
        <v>135</v>
      </c>
      <c r="D32" s="40">
        <v>4</v>
      </c>
      <c r="E32" s="42">
        <v>45554</v>
      </c>
      <c r="F32" s="40">
        <v>6.95</v>
      </c>
      <c r="G32" s="40" t="s">
        <v>106</v>
      </c>
      <c r="H32" s="40">
        <v>17850</v>
      </c>
      <c r="I32" s="43">
        <f t="shared" si="1"/>
        <v>27.8</v>
      </c>
      <c r="K32"/>
    </row>
    <row r="33" spans="1:11" x14ac:dyDescent="0.25">
      <c r="A33" s="40">
        <v>536392</v>
      </c>
      <c r="B33" s="41">
        <v>84879</v>
      </c>
      <c r="C33" s="40" t="s">
        <v>123</v>
      </c>
      <c r="D33" s="40">
        <v>16</v>
      </c>
      <c r="E33" s="42">
        <v>45597</v>
      </c>
      <c r="F33" s="40">
        <v>1.69</v>
      </c>
      <c r="G33" s="40" t="s">
        <v>106</v>
      </c>
      <c r="H33" s="40">
        <v>13705</v>
      </c>
      <c r="I33" s="43">
        <f t="shared" si="1"/>
        <v>27.04</v>
      </c>
      <c r="K33"/>
    </row>
    <row r="34" spans="1:11" x14ac:dyDescent="0.25">
      <c r="A34" s="40">
        <v>536365</v>
      </c>
      <c r="B34" s="41">
        <v>21730</v>
      </c>
      <c r="C34" s="40" t="s">
        <v>136</v>
      </c>
      <c r="D34" s="40">
        <v>6</v>
      </c>
      <c r="E34" s="42">
        <v>45365</v>
      </c>
      <c r="F34" s="40">
        <v>4.25</v>
      </c>
      <c r="G34" s="40" t="s">
        <v>106</v>
      </c>
      <c r="H34" s="40">
        <v>17850</v>
      </c>
      <c r="I34" s="43">
        <f t="shared" si="1"/>
        <v>25.5</v>
      </c>
      <c r="K34"/>
    </row>
    <row r="35" spans="1:11" x14ac:dyDescent="0.25">
      <c r="A35" s="40">
        <v>536368</v>
      </c>
      <c r="B35" s="41">
        <v>22960</v>
      </c>
      <c r="C35" s="40" t="s">
        <v>128</v>
      </c>
      <c r="D35" s="40">
        <v>6</v>
      </c>
      <c r="E35" s="42">
        <v>45477</v>
      </c>
      <c r="F35" s="40">
        <v>4.25</v>
      </c>
      <c r="G35" s="40" t="s">
        <v>106</v>
      </c>
      <c r="H35" s="40">
        <v>13047</v>
      </c>
      <c r="I35" s="43">
        <f t="shared" si="1"/>
        <v>25.5</v>
      </c>
      <c r="K35"/>
    </row>
    <row r="36" spans="1:11" x14ac:dyDescent="0.25">
      <c r="A36" s="40">
        <v>536373</v>
      </c>
      <c r="B36" s="41">
        <v>21730</v>
      </c>
      <c r="C36" s="40" t="s">
        <v>136</v>
      </c>
      <c r="D36" s="40">
        <v>6</v>
      </c>
      <c r="E36" s="42">
        <v>45644</v>
      </c>
      <c r="F36" s="40">
        <v>4.25</v>
      </c>
      <c r="G36" s="40" t="s">
        <v>106</v>
      </c>
      <c r="H36" s="40">
        <v>17850</v>
      </c>
      <c r="I36" s="43">
        <f t="shared" si="1"/>
        <v>25.5</v>
      </c>
      <c r="K36"/>
    </row>
    <row r="37" spans="1:11" x14ac:dyDescent="0.25">
      <c r="A37" s="40">
        <v>536375</v>
      </c>
      <c r="B37" s="41">
        <v>21730</v>
      </c>
      <c r="C37" s="40" t="s">
        <v>136</v>
      </c>
      <c r="D37" s="40">
        <v>6</v>
      </c>
      <c r="E37" s="42">
        <v>45312</v>
      </c>
      <c r="F37" s="40">
        <v>4.25</v>
      </c>
      <c r="G37" s="40" t="s">
        <v>106</v>
      </c>
      <c r="H37" s="40">
        <v>17850</v>
      </c>
      <c r="I37" s="43">
        <f t="shared" si="1"/>
        <v>25.5</v>
      </c>
      <c r="K37"/>
    </row>
    <row r="38" spans="1:11" x14ac:dyDescent="0.25">
      <c r="A38" s="40">
        <v>536385</v>
      </c>
      <c r="B38" s="41">
        <v>22960</v>
      </c>
      <c r="C38" s="40" t="s">
        <v>128</v>
      </c>
      <c r="D38" s="40">
        <v>6</v>
      </c>
      <c r="E38" s="42">
        <v>45515</v>
      </c>
      <c r="F38" s="40">
        <v>4.25</v>
      </c>
      <c r="G38" s="40" t="s">
        <v>106</v>
      </c>
      <c r="H38" s="40">
        <v>17420</v>
      </c>
      <c r="I38" s="43">
        <f t="shared" si="1"/>
        <v>25.5</v>
      </c>
      <c r="K38"/>
    </row>
    <row r="39" spans="1:11" x14ac:dyDescent="0.25">
      <c r="A39" s="40">
        <v>536365</v>
      </c>
      <c r="B39" s="41" t="s">
        <v>137</v>
      </c>
      <c r="C39" s="40" t="s">
        <v>138</v>
      </c>
      <c r="D39" s="40">
        <v>8</v>
      </c>
      <c r="E39" s="42">
        <v>45371</v>
      </c>
      <c r="F39" s="40">
        <v>2.75</v>
      </c>
      <c r="G39" s="40" t="s">
        <v>106</v>
      </c>
      <c r="H39" s="40">
        <v>17850</v>
      </c>
      <c r="I39" s="43">
        <f t="shared" si="1"/>
        <v>22</v>
      </c>
      <c r="K39"/>
    </row>
    <row r="40" spans="1:11" x14ac:dyDescent="0.25">
      <c r="A40" s="40">
        <v>536373</v>
      </c>
      <c r="B40" s="41" t="s">
        <v>137</v>
      </c>
      <c r="C40" s="40" t="s">
        <v>138</v>
      </c>
      <c r="D40" s="40">
        <v>8</v>
      </c>
      <c r="E40" s="42">
        <v>45426</v>
      </c>
      <c r="F40" s="40">
        <v>2.75</v>
      </c>
      <c r="G40" s="40" t="s">
        <v>106</v>
      </c>
      <c r="H40" s="40">
        <v>17850</v>
      </c>
      <c r="I40" s="43">
        <f t="shared" si="1"/>
        <v>22</v>
      </c>
      <c r="K40"/>
    </row>
    <row r="41" spans="1:11" x14ac:dyDescent="0.25">
      <c r="A41" s="40">
        <v>536375</v>
      </c>
      <c r="B41" s="41" t="s">
        <v>137</v>
      </c>
      <c r="C41" s="40" t="s">
        <v>138</v>
      </c>
      <c r="D41" s="40">
        <v>8</v>
      </c>
      <c r="E41" s="42">
        <v>45563</v>
      </c>
      <c r="F41" s="40">
        <v>2.75</v>
      </c>
      <c r="G41" s="40" t="s">
        <v>106</v>
      </c>
      <c r="H41" s="40">
        <v>17850</v>
      </c>
      <c r="I41" s="43">
        <f t="shared" si="1"/>
        <v>22</v>
      </c>
      <c r="K41"/>
    </row>
    <row r="42" spans="1:11" x14ac:dyDescent="0.25">
      <c r="A42" s="40">
        <v>536365</v>
      </c>
      <c r="B42" s="41">
        <v>71053</v>
      </c>
      <c r="C42" s="40" t="s">
        <v>139</v>
      </c>
      <c r="D42" s="40">
        <v>6</v>
      </c>
      <c r="E42" s="42">
        <v>45370</v>
      </c>
      <c r="F42" s="40">
        <v>3.39</v>
      </c>
      <c r="G42" s="40" t="s">
        <v>106</v>
      </c>
      <c r="H42" s="40">
        <v>17850</v>
      </c>
      <c r="I42" s="43">
        <f t="shared" si="1"/>
        <v>20.34</v>
      </c>
      <c r="K42"/>
    </row>
    <row r="43" spans="1:11" x14ac:dyDescent="0.25">
      <c r="A43" s="40">
        <v>536365</v>
      </c>
      <c r="B43" s="41" t="s">
        <v>117</v>
      </c>
      <c r="C43" s="40" t="s">
        <v>118</v>
      </c>
      <c r="D43" s="40">
        <v>6</v>
      </c>
      <c r="E43" s="42">
        <v>45627</v>
      </c>
      <c r="F43" s="40">
        <v>3.39</v>
      </c>
      <c r="G43" s="40" t="s">
        <v>106</v>
      </c>
      <c r="H43" s="40">
        <v>17850</v>
      </c>
      <c r="I43" s="43">
        <f t="shared" si="1"/>
        <v>20.34</v>
      </c>
      <c r="K43"/>
    </row>
    <row r="44" spans="1:11" x14ac:dyDescent="0.25">
      <c r="A44" s="40">
        <v>536365</v>
      </c>
      <c r="B44" s="41" t="s">
        <v>140</v>
      </c>
      <c r="C44" s="40" t="s">
        <v>141</v>
      </c>
      <c r="D44" s="40">
        <v>6</v>
      </c>
      <c r="E44" s="42">
        <v>45384</v>
      </c>
      <c r="F44" s="40">
        <v>3.39</v>
      </c>
      <c r="G44" s="40" t="s">
        <v>106</v>
      </c>
      <c r="H44" s="40">
        <v>17850</v>
      </c>
      <c r="I44" s="43">
        <f t="shared" si="1"/>
        <v>20.34</v>
      </c>
    </row>
    <row r="45" spans="1:11" x14ac:dyDescent="0.25">
      <c r="A45" s="40">
        <v>536373</v>
      </c>
      <c r="B45" s="41">
        <v>71053</v>
      </c>
      <c r="C45" s="40" t="s">
        <v>139</v>
      </c>
      <c r="D45" s="40">
        <v>6</v>
      </c>
      <c r="E45" s="42">
        <v>45497</v>
      </c>
      <c r="F45" s="40">
        <v>3.39</v>
      </c>
      <c r="G45" s="40" t="s">
        <v>106</v>
      </c>
      <c r="H45" s="40">
        <v>17850</v>
      </c>
      <c r="I45" s="43">
        <f t="shared" si="1"/>
        <v>20.34</v>
      </c>
    </row>
    <row r="46" spans="1:11" x14ac:dyDescent="0.25">
      <c r="A46" s="40">
        <v>536373</v>
      </c>
      <c r="B46" s="41" t="s">
        <v>117</v>
      </c>
      <c r="C46" s="40" t="s">
        <v>118</v>
      </c>
      <c r="D46" s="40">
        <v>6</v>
      </c>
      <c r="E46" s="42">
        <v>45427</v>
      </c>
      <c r="F46" s="40">
        <v>3.39</v>
      </c>
      <c r="G46" s="40" t="s">
        <v>106</v>
      </c>
      <c r="H46" s="40">
        <v>17850</v>
      </c>
      <c r="I46" s="43">
        <f t="shared" si="1"/>
        <v>20.34</v>
      </c>
    </row>
    <row r="47" spans="1:11" x14ac:dyDescent="0.25">
      <c r="A47" s="40">
        <v>536373</v>
      </c>
      <c r="B47" s="41" t="s">
        <v>140</v>
      </c>
      <c r="C47" s="40" t="s">
        <v>141</v>
      </c>
      <c r="D47" s="40">
        <v>6</v>
      </c>
      <c r="E47" s="42">
        <v>45508</v>
      </c>
      <c r="F47" s="40">
        <v>3.39</v>
      </c>
      <c r="G47" s="40" t="s">
        <v>106</v>
      </c>
      <c r="H47" s="40">
        <v>17850</v>
      </c>
      <c r="I47" s="43">
        <f t="shared" si="1"/>
        <v>20.34</v>
      </c>
    </row>
    <row r="48" spans="1:11" x14ac:dyDescent="0.25">
      <c r="A48" s="40">
        <v>536375</v>
      </c>
      <c r="B48" s="41">
        <v>71053</v>
      </c>
      <c r="C48" s="40" t="s">
        <v>139</v>
      </c>
      <c r="D48" s="40">
        <v>6</v>
      </c>
      <c r="E48" s="42">
        <v>45570</v>
      </c>
      <c r="F48" s="40">
        <v>3.39</v>
      </c>
      <c r="G48" s="40" t="s">
        <v>106</v>
      </c>
      <c r="H48" s="40">
        <v>17850</v>
      </c>
      <c r="I48" s="43">
        <f t="shared" si="1"/>
        <v>20.34</v>
      </c>
    </row>
    <row r="49" spans="1:9" x14ac:dyDescent="0.25">
      <c r="A49" s="40">
        <v>536375</v>
      </c>
      <c r="B49" s="41" t="s">
        <v>117</v>
      </c>
      <c r="C49" s="40" t="s">
        <v>118</v>
      </c>
      <c r="D49" s="40">
        <v>6</v>
      </c>
      <c r="E49" s="42">
        <v>45550</v>
      </c>
      <c r="F49" s="40">
        <v>3.39</v>
      </c>
      <c r="G49" s="40" t="s">
        <v>106</v>
      </c>
      <c r="H49" s="40">
        <v>17850</v>
      </c>
      <c r="I49" s="43">
        <f t="shared" si="1"/>
        <v>20.34</v>
      </c>
    </row>
    <row r="50" spans="1:9" x14ac:dyDescent="0.25">
      <c r="A50" s="40">
        <v>536375</v>
      </c>
      <c r="B50" s="41" t="s">
        <v>140</v>
      </c>
      <c r="C50" s="40" t="s">
        <v>141</v>
      </c>
      <c r="D50" s="40">
        <v>6</v>
      </c>
      <c r="E50" s="42">
        <v>45601</v>
      </c>
      <c r="F50" s="40">
        <v>3.39</v>
      </c>
      <c r="G50" s="40" t="s">
        <v>106</v>
      </c>
      <c r="H50" s="40">
        <v>17850</v>
      </c>
      <c r="I50" s="43">
        <f t="shared" si="1"/>
        <v>20.34</v>
      </c>
    </row>
    <row r="51" spans="1:9" x14ac:dyDescent="0.25">
      <c r="A51" s="40">
        <v>536385</v>
      </c>
      <c r="B51" s="41">
        <v>22783</v>
      </c>
      <c r="C51" s="40" t="s">
        <v>119</v>
      </c>
      <c r="D51" s="40">
        <v>1</v>
      </c>
      <c r="E51" s="42">
        <v>45324</v>
      </c>
      <c r="F51" s="40">
        <v>19.95</v>
      </c>
      <c r="G51" s="40" t="s">
        <v>106</v>
      </c>
      <c r="H51" s="40">
        <v>17420</v>
      </c>
      <c r="I51" s="43">
        <f t="shared" si="1"/>
        <v>19.95</v>
      </c>
    </row>
    <row r="52" spans="1:9" x14ac:dyDescent="0.25">
      <c r="A52" s="40">
        <v>536384</v>
      </c>
      <c r="B52" s="41">
        <v>22464</v>
      </c>
      <c r="C52" s="40" t="s">
        <v>142</v>
      </c>
      <c r="D52" s="40">
        <v>12</v>
      </c>
      <c r="E52" s="42">
        <v>45303</v>
      </c>
      <c r="F52" s="40">
        <v>1.65</v>
      </c>
      <c r="G52" s="40" t="s">
        <v>106</v>
      </c>
      <c r="H52" s="40">
        <v>18074</v>
      </c>
      <c r="I52" s="43">
        <f t="shared" si="1"/>
        <v>19.799999999999997</v>
      </c>
    </row>
    <row r="53" spans="1:9" x14ac:dyDescent="0.25">
      <c r="A53" s="40">
        <v>536388</v>
      </c>
      <c r="B53" s="41">
        <v>22464</v>
      </c>
      <c r="C53" s="40" t="s">
        <v>142</v>
      </c>
      <c r="D53" s="40">
        <v>12</v>
      </c>
      <c r="E53" s="42">
        <v>45408</v>
      </c>
      <c r="F53" s="40">
        <v>1.65</v>
      </c>
      <c r="G53" s="40" t="s">
        <v>106</v>
      </c>
      <c r="H53" s="40">
        <v>16250</v>
      </c>
      <c r="I53" s="43">
        <f t="shared" si="1"/>
        <v>19.799999999999997</v>
      </c>
    </row>
    <row r="54" spans="1:9" x14ac:dyDescent="0.25">
      <c r="A54" s="40">
        <v>536388</v>
      </c>
      <c r="B54" s="41">
        <v>22469</v>
      </c>
      <c r="C54" s="40" t="s">
        <v>122</v>
      </c>
      <c r="D54" s="40">
        <v>12</v>
      </c>
      <c r="E54" s="42">
        <v>45494</v>
      </c>
      <c r="F54" s="40">
        <v>1.65</v>
      </c>
      <c r="G54" s="40" t="s">
        <v>106</v>
      </c>
      <c r="H54" s="40">
        <v>16250</v>
      </c>
      <c r="I54" s="43">
        <f t="shared" si="1"/>
        <v>19.799999999999997</v>
      </c>
    </row>
    <row r="55" spans="1:9" x14ac:dyDescent="0.25">
      <c r="A55" s="40">
        <v>536378</v>
      </c>
      <c r="B55" s="41" t="s">
        <v>35</v>
      </c>
      <c r="C55" s="40" t="s">
        <v>110</v>
      </c>
      <c r="D55" s="40">
        <v>10</v>
      </c>
      <c r="E55" s="42">
        <v>45594</v>
      </c>
      <c r="F55" s="40">
        <v>1.95</v>
      </c>
      <c r="G55" s="40" t="s">
        <v>106</v>
      </c>
      <c r="H55" s="40">
        <v>14688</v>
      </c>
      <c r="I55" s="43">
        <f t="shared" si="1"/>
        <v>19.5</v>
      </c>
    </row>
    <row r="56" spans="1:9" x14ac:dyDescent="0.25">
      <c r="A56" s="40">
        <v>536381</v>
      </c>
      <c r="B56" s="41">
        <v>22411</v>
      </c>
      <c r="C56" s="40" t="s">
        <v>143</v>
      </c>
      <c r="D56" s="40">
        <v>10</v>
      </c>
      <c r="E56" s="42">
        <v>45517</v>
      </c>
      <c r="F56" s="40">
        <v>1.95</v>
      </c>
      <c r="G56" s="40" t="s">
        <v>106</v>
      </c>
      <c r="H56" s="40">
        <v>15311</v>
      </c>
      <c r="I56" s="43">
        <f t="shared" si="1"/>
        <v>19.5</v>
      </c>
    </row>
    <row r="57" spans="1:9" x14ac:dyDescent="0.25">
      <c r="A57" s="40">
        <v>536382</v>
      </c>
      <c r="B57" s="41">
        <v>22411</v>
      </c>
      <c r="C57" s="40" t="s">
        <v>143</v>
      </c>
      <c r="D57" s="40">
        <v>10</v>
      </c>
      <c r="E57" s="42">
        <v>45295</v>
      </c>
      <c r="F57" s="40">
        <v>1.95</v>
      </c>
      <c r="G57" s="40" t="s">
        <v>106</v>
      </c>
      <c r="H57" s="40">
        <v>16098</v>
      </c>
      <c r="I57" s="43">
        <f t="shared" si="1"/>
        <v>19.5</v>
      </c>
    </row>
    <row r="58" spans="1:9" x14ac:dyDescent="0.25">
      <c r="A58" s="40">
        <v>536367</v>
      </c>
      <c r="B58" s="41">
        <v>21754</v>
      </c>
      <c r="C58" s="40" t="s">
        <v>144</v>
      </c>
      <c r="D58" s="40">
        <v>3</v>
      </c>
      <c r="E58" s="42">
        <v>45441</v>
      </c>
      <c r="F58" s="40">
        <v>5.95</v>
      </c>
      <c r="G58" s="40" t="s">
        <v>106</v>
      </c>
      <c r="H58" s="40">
        <v>13047</v>
      </c>
      <c r="I58" s="43">
        <f t="shared" si="1"/>
        <v>17.850000000000001</v>
      </c>
    </row>
    <row r="59" spans="1:9" x14ac:dyDescent="0.25">
      <c r="A59" s="40">
        <v>536367</v>
      </c>
      <c r="B59" s="41">
        <v>21755</v>
      </c>
      <c r="C59" s="40" t="s">
        <v>145</v>
      </c>
      <c r="D59" s="40">
        <v>3</v>
      </c>
      <c r="E59" s="42">
        <v>45472</v>
      </c>
      <c r="F59" s="40">
        <v>5.95</v>
      </c>
      <c r="G59" s="40" t="s">
        <v>106</v>
      </c>
      <c r="H59" s="40">
        <v>13047</v>
      </c>
      <c r="I59" s="43">
        <f t="shared" si="1"/>
        <v>17.850000000000001</v>
      </c>
    </row>
    <row r="60" spans="1:9" x14ac:dyDescent="0.25">
      <c r="A60" s="40">
        <v>536388</v>
      </c>
      <c r="B60" s="41">
        <v>21754</v>
      </c>
      <c r="C60" s="40" t="s">
        <v>144</v>
      </c>
      <c r="D60" s="40">
        <v>3</v>
      </c>
      <c r="E60" s="42">
        <v>45540</v>
      </c>
      <c r="F60" s="40">
        <v>5.95</v>
      </c>
      <c r="G60" s="40" t="s">
        <v>106</v>
      </c>
      <c r="H60" s="40">
        <v>16250</v>
      </c>
      <c r="I60" s="43">
        <f t="shared" si="1"/>
        <v>17.850000000000001</v>
      </c>
    </row>
    <row r="61" spans="1:9" x14ac:dyDescent="0.25">
      <c r="A61" s="40">
        <v>536388</v>
      </c>
      <c r="B61" s="41">
        <v>21755</v>
      </c>
      <c r="C61" s="40" t="s">
        <v>145</v>
      </c>
      <c r="D61" s="40">
        <v>3</v>
      </c>
      <c r="E61" s="42">
        <v>45506</v>
      </c>
      <c r="F61" s="40">
        <v>5.95</v>
      </c>
      <c r="G61" s="40" t="s">
        <v>106</v>
      </c>
      <c r="H61" s="40">
        <v>16250</v>
      </c>
      <c r="I61" s="43">
        <f t="shared" si="1"/>
        <v>17.850000000000001</v>
      </c>
    </row>
    <row r="62" spans="1:9" x14ac:dyDescent="0.25">
      <c r="A62" s="40">
        <v>536385</v>
      </c>
      <c r="B62" s="41">
        <v>22961</v>
      </c>
      <c r="C62" s="40" t="s">
        <v>130</v>
      </c>
      <c r="D62" s="40">
        <v>12</v>
      </c>
      <c r="E62" s="42">
        <v>45495</v>
      </c>
      <c r="F62" s="40">
        <v>1.45</v>
      </c>
      <c r="G62" s="40" t="s">
        <v>106</v>
      </c>
      <c r="H62" s="40">
        <v>17420</v>
      </c>
      <c r="I62" s="43">
        <f t="shared" si="1"/>
        <v>17.399999999999999</v>
      </c>
    </row>
    <row r="63" spans="1:9" x14ac:dyDescent="0.25">
      <c r="A63" s="40">
        <v>536388</v>
      </c>
      <c r="B63" s="41">
        <v>22969</v>
      </c>
      <c r="C63" s="40" t="s">
        <v>113</v>
      </c>
      <c r="D63" s="40">
        <v>12</v>
      </c>
      <c r="E63" s="42">
        <v>45545</v>
      </c>
      <c r="F63" s="40">
        <v>1.45</v>
      </c>
      <c r="G63" s="40" t="s">
        <v>106</v>
      </c>
      <c r="H63" s="40">
        <v>16250</v>
      </c>
      <c r="I63" s="43">
        <f t="shared" si="1"/>
        <v>17.399999999999999</v>
      </c>
    </row>
    <row r="64" spans="1:9" x14ac:dyDescent="0.25">
      <c r="A64" s="40">
        <v>536390</v>
      </c>
      <c r="B64" s="41">
        <v>22961</v>
      </c>
      <c r="C64" s="40" t="s">
        <v>130</v>
      </c>
      <c r="D64" s="40">
        <v>12</v>
      </c>
      <c r="E64" s="42">
        <v>45511</v>
      </c>
      <c r="F64" s="40">
        <v>1.45</v>
      </c>
      <c r="G64" s="40" t="s">
        <v>106</v>
      </c>
      <c r="H64" s="40">
        <v>17511</v>
      </c>
      <c r="I64" s="43">
        <f t="shared" si="1"/>
        <v>17.399999999999999</v>
      </c>
    </row>
    <row r="65" spans="1:9" x14ac:dyDescent="0.25">
      <c r="A65" s="40">
        <v>536390</v>
      </c>
      <c r="B65" s="41">
        <v>22941</v>
      </c>
      <c r="C65" s="40" t="s">
        <v>124</v>
      </c>
      <c r="D65" s="40">
        <v>2</v>
      </c>
      <c r="E65" s="42">
        <v>45621</v>
      </c>
      <c r="F65" s="40">
        <v>8.5</v>
      </c>
      <c r="G65" s="40" t="s">
        <v>106</v>
      </c>
      <c r="H65" s="40">
        <v>17511</v>
      </c>
      <c r="I65" s="43">
        <f t="shared" si="1"/>
        <v>17</v>
      </c>
    </row>
    <row r="66" spans="1:9" x14ac:dyDescent="0.25">
      <c r="A66" s="40">
        <v>536388</v>
      </c>
      <c r="B66" s="41">
        <v>21523</v>
      </c>
      <c r="C66" s="40" t="s">
        <v>120</v>
      </c>
      <c r="D66" s="40">
        <v>2</v>
      </c>
      <c r="E66" s="42">
        <v>45496</v>
      </c>
      <c r="F66" s="40">
        <v>7.95</v>
      </c>
      <c r="G66" s="40" t="s">
        <v>106</v>
      </c>
      <c r="H66" s="40">
        <v>16250</v>
      </c>
      <c r="I66" s="43">
        <f t="shared" si="1"/>
        <v>15.9</v>
      </c>
    </row>
    <row r="67" spans="1:9" x14ac:dyDescent="0.25">
      <c r="A67" s="40">
        <v>536365</v>
      </c>
      <c r="B67" s="41">
        <v>22752</v>
      </c>
      <c r="C67" s="40" t="s">
        <v>146</v>
      </c>
      <c r="D67" s="40">
        <v>2</v>
      </c>
      <c r="E67" s="42">
        <v>45535</v>
      </c>
      <c r="F67" s="40">
        <v>7.65</v>
      </c>
      <c r="G67" s="40" t="s">
        <v>106</v>
      </c>
      <c r="H67" s="40">
        <v>17850</v>
      </c>
      <c r="I67" s="43">
        <f t="shared" si="1"/>
        <v>15.3</v>
      </c>
    </row>
    <row r="68" spans="1:9" x14ac:dyDescent="0.25">
      <c r="A68" s="40">
        <v>536373</v>
      </c>
      <c r="B68" s="41">
        <v>22752</v>
      </c>
      <c r="C68" s="40" t="s">
        <v>146</v>
      </c>
      <c r="D68" s="40">
        <v>2</v>
      </c>
      <c r="E68" s="42">
        <v>45378</v>
      </c>
      <c r="F68" s="40">
        <v>7.65</v>
      </c>
      <c r="G68" s="40" t="s">
        <v>106</v>
      </c>
      <c r="H68" s="40">
        <v>17850</v>
      </c>
      <c r="I68" s="43">
        <f t="shared" si="1"/>
        <v>15.3</v>
      </c>
    </row>
    <row r="69" spans="1:9" x14ac:dyDescent="0.25">
      <c r="A69" s="40">
        <v>536375</v>
      </c>
      <c r="B69" s="41">
        <v>22752</v>
      </c>
      <c r="C69" s="40" t="s">
        <v>146</v>
      </c>
      <c r="D69" s="40">
        <v>2</v>
      </c>
      <c r="E69" s="42">
        <v>45316</v>
      </c>
      <c r="F69" s="40">
        <v>7.65</v>
      </c>
      <c r="G69" s="40" t="s">
        <v>106</v>
      </c>
      <c r="H69" s="40">
        <v>17850</v>
      </c>
      <c r="I69" s="43">
        <f t="shared" si="1"/>
        <v>15.3</v>
      </c>
    </row>
    <row r="70" spans="1:9" x14ac:dyDescent="0.25">
      <c r="A70" s="40">
        <v>536365</v>
      </c>
      <c r="B70" s="41" t="s">
        <v>36</v>
      </c>
      <c r="C70" s="40" t="s">
        <v>112</v>
      </c>
      <c r="D70" s="40">
        <v>6</v>
      </c>
      <c r="E70" s="42">
        <v>45360</v>
      </c>
      <c r="F70" s="40">
        <v>2.5499999999999998</v>
      </c>
      <c r="G70" s="40" t="s">
        <v>106</v>
      </c>
      <c r="H70" s="40">
        <v>17850</v>
      </c>
      <c r="I70" s="43">
        <f t="shared" si="1"/>
        <v>15.299999999999999</v>
      </c>
    </row>
    <row r="71" spans="1:9" x14ac:dyDescent="0.25">
      <c r="A71" s="40">
        <v>536373</v>
      </c>
      <c r="B71" s="41" t="s">
        <v>36</v>
      </c>
      <c r="C71" s="40" t="s">
        <v>112</v>
      </c>
      <c r="D71" s="40">
        <v>6</v>
      </c>
      <c r="E71" s="42">
        <v>45479</v>
      </c>
      <c r="F71" s="40">
        <v>2.5499999999999998</v>
      </c>
      <c r="G71" s="40" t="s">
        <v>106</v>
      </c>
      <c r="H71" s="40">
        <v>17850</v>
      </c>
      <c r="I71" s="43">
        <f t="shared" si="1"/>
        <v>15.299999999999999</v>
      </c>
    </row>
    <row r="72" spans="1:9" x14ac:dyDescent="0.25">
      <c r="A72" s="40">
        <v>536373</v>
      </c>
      <c r="B72" s="41" t="s">
        <v>147</v>
      </c>
      <c r="C72" s="40" t="s">
        <v>148</v>
      </c>
      <c r="D72" s="40">
        <v>6</v>
      </c>
      <c r="E72" s="42">
        <v>45403</v>
      </c>
      <c r="F72" s="40">
        <v>2.5499999999999998</v>
      </c>
      <c r="G72" s="40" t="s">
        <v>106</v>
      </c>
      <c r="H72" s="40">
        <v>17850</v>
      </c>
      <c r="I72" s="43">
        <f t="shared" si="1"/>
        <v>15.299999999999999</v>
      </c>
    </row>
    <row r="73" spans="1:9" x14ac:dyDescent="0.25">
      <c r="A73" s="40">
        <v>536375</v>
      </c>
      <c r="B73" s="41" t="s">
        <v>36</v>
      </c>
      <c r="C73" s="40" t="s">
        <v>112</v>
      </c>
      <c r="D73" s="40">
        <v>6</v>
      </c>
      <c r="E73" s="42">
        <v>45560</v>
      </c>
      <c r="F73" s="40">
        <v>2.5499999999999998</v>
      </c>
      <c r="G73" s="40" t="s">
        <v>106</v>
      </c>
      <c r="H73" s="40">
        <v>17850</v>
      </c>
      <c r="I73" s="43">
        <f t="shared" si="1"/>
        <v>15.299999999999999</v>
      </c>
    </row>
    <row r="74" spans="1:9" x14ac:dyDescent="0.25">
      <c r="A74" s="40">
        <v>536375</v>
      </c>
      <c r="B74" s="41" t="s">
        <v>147</v>
      </c>
      <c r="C74" s="40" t="s">
        <v>148</v>
      </c>
      <c r="D74" s="40">
        <v>6</v>
      </c>
      <c r="E74" s="42">
        <v>45492</v>
      </c>
      <c r="F74" s="40">
        <v>2.5499999999999998</v>
      </c>
      <c r="G74" s="40" t="s">
        <v>106</v>
      </c>
      <c r="H74" s="40">
        <v>17850</v>
      </c>
      <c r="I74" s="43">
        <f t="shared" ref="I74:I99" si="2">D74*F74</f>
        <v>15.299999999999999</v>
      </c>
    </row>
    <row r="75" spans="1:9" x14ac:dyDescent="0.25">
      <c r="A75" s="40">
        <v>536382</v>
      </c>
      <c r="B75" s="41">
        <v>22726</v>
      </c>
      <c r="C75" s="40" t="s">
        <v>127</v>
      </c>
      <c r="D75" s="40">
        <v>4</v>
      </c>
      <c r="E75" s="42">
        <v>45615</v>
      </c>
      <c r="F75" s="40">
        <v>3.75</v>
      </c>
      <c r="G75" s="40" t="s">
        <v>106</v>
      </c>
      <c r="H75" s="40">
        <v>16098</v>
      </c>
      <c r="I75" s="43">
        <f t="shared" si="2"/>
        <v>15</v>
      </c>
    </row>
    <row r="76" spans="1:9" x14ac:dyDescent="0.25">
      <c r="A76" s="40">
        <v>536389</v>
      </c>
      <c r="B76" s="41">
        <v>21791</v>
      </c>
      <c r="C76" s="40" t="s">
        <v>133</v>
      </c>
      <c r="D76" s="40">
        <v>12</v>
      </c>
      <c r="E76" s="42">
        <v>45533</v>
      </c>
      <c r="F76" s="40">
        <v>1.25</v>
      </c>
      <c r="G76" s="40" t="s">
        <v>125</v>
      </c>
      <c r="H76" s="40">
        <v>12431</v>
      </c>
      <c r="I76" s="43">
        <f t="shared" si="2"/>
        <v>15</v>
      </c>
    </row>
    <row r="77" spans="1:9" x14ac:dyDescent="0.25">
      <c r="A77" s="40">
        <v>536389</v>
      </c>
      <c r="B77" s="41">
        <v>22726</v>
      </c>
      <c r="C77" s="40" t="s">
        <v>127</v>
      </c>
      <c r="D77" s="40">
        <v>4</v>
      </c>
      <c r="E77" s="42">
        <v>45508</v>
      </c>
      <c r="F77" s="40">
        <v>3.75</v>
      </c>
      <c r="G77" s="40" t="s">
        <v>125</v>
      </c>
      <c r="H77" s="40">
        <v>12431</v>
      </c>
      <c r="I77" s="43">
        <f t="shared" si="2"/>
        <v>15</v>
      </c>
    </row>
    <row r="78" spans="1:9" x14ac:dyDescent="0.25">
      <c r="A78" s="40">
        <v>536389</v>
      </c>
      <c r="B78" s="41">
        <v>22727</v>
      </c>
      <c r="C78" s="40" t="s">
        <v>115</v>
      </c>
      <c r="D78" s="40">
        <v>4</v>
      </c>
      <c r="E78" s="42">
        <v>45508</v>
      </c>
      <c r="F78" s="40">
        <v>3.75</v>
      </c>
      <c r="G78" s="40" t="s">
        <v>125</v>
      </c>
      <c r="H78" s="40">
        <v>12431</v>
      </c>
      <c r="I78" s="43">
        <f t="shared" si="2"/>
        <v>15</v>
      </c>
    </row>
    <row r="79" spans="1:9" x14ac:dyDescent="0.25">
      <c r="A79" s="40">
        <v>536373</v>
      </c>
      <c r="B79" s="41">
        <v>82482</v>
      </c>
      <c r="C79" s="40" t="s">
        <v>149</v>
      </c>
      <c r="D79" s="40">
        <v>6</v>
      </c>
      <c r="E79" s="42">
        <v>45615</v>
      </c>
      <c r="F79" s="40">
        <v>2.1</v>
      </c>
      <c r="G79" s="40" t="s">
        <v>106</v>
      </c>
      <c r="H79" s="40">
        <v>17850</v>
      </c>
      <c r="I79" s="43">
        <f t="shared" si="2"/>
        <v>12.600000000000001</v>
      </c>
    </row>
    <row r="80" spans="1:9" x14ac:dyDescent="0.25">
      <c r="A80" s="40">
        <v>536375</v>
      </c>
      <c r="B80" s="41">
        <v>82482</v>
      </c>
      <c r="C80" s="40" t="s">
        <v>149</v>
      </c>
      <c r="D80" s="40">
        <v>6</v>
      </c>
      <c r="E80" s="42">
        <v>45567</v>
      </c>
      <c r="F80" s="40">
        <v>2.1</v>
      </c>
      <c r="G80" s="40" t="s">
        <v>106</v>
      </c>
      <c r="H80" s="40">
        <v>17850</v>
      </c>
      <c r="I80" s="43">
        <f t="shared" si="2"/>
        <v>12.600000000000001</v>
      </c>
    </row>
    <row r="81" spans="1:9" x14ac:dyDescent="0.25">
      <c r="A81" s="40">
        <v>536381</v>
      </c>
      <c r="B81" s="41">
        <v>22086</v>
      </c>
      <c r="C81" s="40" t="s">
        <v>107</v>
      </c>
      <c r="D81" s="40">
        <v>4</v>
      </c>
      <c r="E81" s="42">
        <v>45615</v>
      </c>
      <c r="F81" s="40">
        <v>2.95</v>
      </c>
      <c r="G81" s="40" t="s">
        <v>106</v>
      </c>
      <c r="H81" s="40">
        <v>15311</v>
      </c>
      <c r="I81" s="43">
        <f t="shared" si="2"/>
        <v>11.8</v>
      </c>
    </row>
    <row r="82" spans="1:9" x14ac:dyDescent="0.25">
      <c r="A82" s="40">
        <v>536366</v>
      </c>
      <c r="B82" s="41">
        <v>22633</v>
      </c>
      <c r="C82" s="40" t="s">
        <v>108</v>
      </c>
      <c r="D82" s="40">
        <v>6</v>
      </c>
      <c r="E82" s="42">
        <v>45601</v>
      </c>
      <c r="F82" s="40">
        <v>1.85</v>
      </c>
      <c r="G82" s="40" t="s">
        <v>106</v>
      </c>
      <c r="H82" s="40">
        <v>17850</v>
      </c>
      <c r="I82" s="43">
        <f t="shared" si="2"/>
        <v>11.100000000000001</v>
      </c>
    </row>
    <row r="83" spans="1:9" x14ac:dyDescent="0.25">
      <c r="A83" s="40">
        <v>536366</v>
      </c>
      <c r="B83" s="41">
        <v>22632</v>
      </c>
      <c r="C83" s="40" t="s">
        <v>150</v>
      </c>
      <c r="D83" s="40">
        <v>6</v>
      </c>
      <c r="E83" s="42">
        <v>45335</v>
      </c>
      <c r="F83" s="40">
        <v>1.85</v>
      </c>
      <c r="G83" s="40" t="s">
        <v>106</v>
      </c>
      <c r="H83" s="40">
        <v>17850</v>
      </c>
      <c r="I83" s="43">
        <f t="shared" si="2"/>
        <v>11.100000000000001</v>
      </c>
    </row>
    <row r="84" spans="1:9" x14ac:dyDescent="0.25">
      <c r="A84" s="40">
        <v>536372</v>
      </c>
      <c r="B84" s="41">
        <v>22632</v>
      </c>
      <c r="C84" s="40" t="s">
        <v>150</v>
      </c>
      <c r="D84" s="40">
        <v>6</v>
      </c>
      <c r="E84" s="42">
        <v>45514</v>
      </c>
      <c r="F84" s="40">
        <v>1.85</v>
      </c>
      <c r="G84" s="40" t="s">
        <v>106</v>
      </c>
      <c r="H84" s="40">
        <v>17850</v>
      </c>
      <c r="I84" s="43">
        <f t="shared" si="2"/>
        <v>11.100000000000001</v>
      </c>
    </row>
    <row r="85" spans="1:9" x14ac:dyDescent="0.25">
      <c r="A85" s="40">
        <v>536372</v>
      </c>
      <c r="B85" s="41">
        <v>22633</v>
      </c>
      <c r="C85" s="40" t="s">
        <v>108</v>
      </c>
      <c r="D85" s="40">
        <v>6</v>
      </c>
      <c r="E85" s="42">
        <v>45489</v>
      </c>
      <c r="F85" s="40">
        <v>1.85</v>
      </c>
      <c r="G85" s="40" t="s">
        <v>106</v>
      </c>
      <c r="H85" s="40">
        <v>17850</v>
      </c>
      <c r="I85" s="43">
        <f t="shared" si="2"/>
        <v>11.100000000000001</v>
      </c>
    </row>
    <row r="86" spans="1:9" x14ac:dyDescent="0.25">
      <c r="A86" s="40">
        <v>536377</v>
      </c>
      <c r="B86" s="41">
        <v>22632</v>
      </c>
      <c r="C86" s="40" t="s">
        <v>150</v>
      </c>
      <c r="D86" s="40">
        <v>6</v>
      </c>
      <c r="E86" s="42">
        <v>45570</v>
      </c>
      <c r="F86" s="40">
        <v>1.85</v>
      </c>
      <c r="G86" s="40" t="s">
        <v>106</v>
      </c>
      <c r="H86" s="40">
        <v>17850</v>
      </c>
      <c r="I86" s="43">
        <f t="shared" si="2"/>
        <v>11.100000000000001</v>
      </c>
    </row>
    <row r="87" spans="1:9" x14ac:dyDescent="0.25">
      <c r="A87" s="40">
        <v>536377</v>
      </c>
      <c r="B87" s="41">
        <v>22633</v>
      </c>
      <c r="C87" s="40" t="s">
        <v>108</v>
      </c>
      <c r="D87" s="40">
        <v>6</v>
      </c>
      <c r="E87" s="42">
        <v>45539</v>
      </c>
      <c r="F87" s="40">
        <v>1.85</v>
      </c>
      <c r="G87" s="40" t="s">
        <v>106</v>
      </c>
      <c r="H87" s="40">
        <v>17850</v>
      </c>
      <c r="I87" s="43">
        <f t="shared" si="2"/>
        <v>11.100000000000001</v>
      </c>
    </row>
    <row r="88" spans="1:9" x14ac:dyDescent="0.25">
      <c r="A88" s="40">
        <v>536378</v>
      </c>
      <c r="B88" s="41">
        <v>21094</v>
      </c>
      <c r="C88" s="40" t="s">
        <v>121</v>
      </c>
      <c r="D88" s="40">
        <v>12</v>
      </c>
      <c r="E88" s="42">
        <v>45337</v>
      </c>
      <c r="F88" s="40">
        <v>0.85</v>
      </c>
      <c r="G88" s="40" t="s">
        <v>106</v>
      </c>
      <c r="H88" s="40">
        <v>14688</v>
      </c>
      <c r="I88" s="43">
        <f t="shared" si="2"/>
        <v>10.199999999999999</v>
      </c>
    </row>
    <row r="89" spans="1:9" x14ac:dyDescent="0.25">
      <c r="A89" s="40">
        <v>536382</v>
      </c>
      <c r="B89" s="41">
        <v>10002</v>
      </c>
      <c r="C89" s="40" t="s">
        <v>129</v>
      </c>
      <c r="D89" s="40">
        <v>12</v>
      </c>
      <c r="E89" s="42">
        <v>45566</v>
      </c>
      <c r="F89" s="40">
        <v>0.85</v>
      </c>
      <c r="G89" s="40" t="s">
        <v>106</v>
      </c>
      <c r="H89" s="40">
        <v>16098</v>
      </c>
      <c r="I89" s="43">
        <f t="shared" si="2"/>
        <v>10.199999999999999</v>
      </c>
    </row>
    <row r="90" spans="1:9" x14ac:dyDescent="0.25">
      <c r="A90" s="40">
        <v>536373</v>
      </c>
      <c r="B90" s="41">
        <v>82483</v>
      </c>
      <c r="C90" s="40" t="s">
        <v>151</v>
      </c>
      <c r="D90" s="40">
        <v>2</v>
      </c>
      <c r="E90" s="42">
        <v>45330</v>
      </c>
      <c r="F90" s="40">
        <v>4.95</v>
      </c>
      <c r="G90" s="40" t="s">
        <v>106</v>
      </c>
      <c r="H90" s="40">
        <v>17850</v>
      </c>
      <c r="I90" s="43">
        <f t="shared" si="2"/>
        <v>9.9</v>
      </c>
    </row>
    <row r="91" spans="1:9" x14ac:dyDescent="0.25">
      <c r="A91" s="40">
        <v>536375</v>
      </c>
      <c r="B91" s="41">
        <v>82483</v>
      </c>
      <c r="C91" s="40" t="s">
        <v>151</v>
      </c>
      <c r="D91" s="40">
        <v>2</v>
      </c>
      <c r="E91" s="42">
        <v>45487</v>
      </c>
      <c r="F91" s="40">
        <v>4.95</v>
      </c>
      <c r="G91" s="40" t="s">
        <v>106</v>
      </c>
      <c r="H91" s="40">
        <v>17850</v>
      </c>
      <c r="I91" s="43">
        <f t="shared" si="2"/>
        <v>9.9</v>
      </c>
    </row>
    <row r="92" spans="1:9" x14ac:dyDescent="0.25">
      <c r="A92" s="40">
        <v>536373</v>
      </c>
      <c r="B92" s="41">
        <v>37370</v>
      </c>
      <c r="C92" s="40" t="s">
        <v>152</v>
      </c>
      <c r="D92" s="40">
        <v>6</v>
      </c>
      <c r="E92" s="42">
        <v>45516</v>
      </c>
      <c r="F92" s="40">
        <v>1.06</v>
      </c>
      <c r="G92" s="40" t="s">
        <v>106</v>
      </c>
      <c r="H92" s="40">
        <v>17850</v>
      </c>
      <c r="I92" s="43">
        <f t="shared" si="2"/>
        <v>6.36</v>
      </c>
    </row>
    <row r="93" spans="1:9" x14ac:dyDescent="0.25">
      <c r="A93" s="40">
        <v>536373</v>
      </c>
      <c r="B93" s="41">
        <v>21871</v>
      </c>
      <c r="C93" s="40" t="s">
        <v>153</v>
      </c>
      <c r="D93" s="40">
        <v>6</v>
      </c>
      <c r="E93" s="42">
        <v>45578</v>
      </c>
      <c r="F93" s="40">
        <v>1.06</v>
      </c>
      <c r="G93" s="40" t="s">
        <v>106</v>
      </c>
      <c r="H93" s="40">
        <v>17850</v>
      </c>
      <c r="I93" s="43">
        <f t="shared" si="2"/>
        <v>6.36</v>
      </c>
    </row>
    <row r="94" spans="1:9" x14ac:dyDescent="0.25">
      <c r="A94" s="40">
        <v>536373</v>
      </c>
      <c r="B94" s="41">
        <v>21071</v>
      </c>
      <c r="C94" s="40" t="s">
        <v>154</v>
      </c>
      <c r="D94" s="40">
        <v>6</v>
      </c>
      <c r="E94" s="42">
        <v>45382</v>
      </c>
      <c r="F94" s="40">
        <v>1.06</v>
      </c>
      <c r="G94" s="40" t="s">
        <v>106</v>
      </c>
      <c r="H94" s="40">
        <v>17850</v>
      </c>
      <c r="I94" s="43">
        <f t="shared" si="2"/>
        <v>6.36</v>
      </c>
    </row>
    <row r="95" spans="1:9" x14ac:dyDescent="0.25">
      <c r="A95" s="40">
        <v>536373</v>
      </c>
      <c r="B95" s="41">
        <v>21068</v>
      </c>
      <c r="C95" s="40" t="s">
        <v>155</v>
      </c>
      <c r="D95" s="40">
        <v>6</v>
      </c>
      <c r="E95" s="42">
        <v>45463</v>
      </c>
      <c r="F95" s="40">
        <v>1.06</v>
      </c>
      <c r="G95" s="40" t="s">
        <v>106</v>
      </c>
      <c r="H95" s="40">
        <v>17850</v>
      </c>
      <c r="I95" s="43">
        <f t="shared" si="2"/>
        <v>6.36</v>
      </c>
    </row>
    <row r="96" spans="1:9" x14ac:dyDescent="0.25">
      <c r="A96" s="40">
        <v>536375</v>
      </c>
      <c r="B96" s="41">
        <v>37370</v>
      </c>
      <c r="C96" s="40" t="s">
        <v>152</v>
      </c>
      <c r="D96" s="40">
        <v>6</v>
      </c>
      <c r="E96" s="42">
        <v>45569</v>
      </c>
      <c r="F96" s="40">
        <v>1.06</v>
      </c>
      <c r="G96" s="40" t="s">
        <v>106</v>
      </c>
      <c r="H96" s="40">
        <v>17850</v>
      </c>
      <c r="I96" s="43">
        <f t="shared" si="2"/>
        <v>6.36</v>
      </c>
    </row>
    <row r="97" spans="1:9" x14ac:dyDescent="0.25">
      <c r="A97" s="40">
        <v>536375</v>
      </c>
      <c r="B97" s="41">
        <v>21871</v>
      </c>
      <c r="C97" s="40" t="s">
        <v>153</v>
      </c>
      <c r="D97" s="40">
        <v>6</v>
      </c>
      <c r="E97" s="42">
        <v>45516</v>
      </c>
      <c r="F97" s="40">
        <v>1.06</v>
      </c>
      <c r="G97" s="40" t="s">
        <v>106</v>
      </c>
      <c r="H97" s="40">
        <v>17850</v>
      </c>
      <c r="I97" s="43">
        <f t="shared" si="2"/>
        <v>6.36</v>
      </c>
    </row>
    <row r="98" spans="1:9" x14ac:dyDescent="0.25">
      <c r="A98" s="40">
        <v>536375</v>
      </c>
      <c r="B98" s="41">
        <v>21071</v>
      </c>
      <c r="C98" s="40" t="s">
        <v>154</v>
      </c>
      <c r="D98" s="40">
        <v>6</v>
      </c>
      <c r="E98" s="42">
        <v>45428</v>
      </c>
      <c r="F98" s="40">
        <v>1.06</v>
      </c>
      <c r="G98" s="40" t="s">
        <v>106</v>
      </c>
      <c r="H98" s="40">
        <v>17850</v>
      </c>
      <c r="I98" s="43">
        <f t="shared" si="2"/>
        <v>6.36</v>
      </c>
    </row>
    <row r="99" spans="1:9" x14ac:dyDescent="0.25">
      <c r="A99" s="40">
        <v>536375</v>
      </c>
      <c r="B99" s="41">
        <v>21068</v>
      </c>
      <c r="C99" s="40" t="s">
        <v>155</v>
      </c>
      <c r="D99" s="40">
        <v>6</v>
      </c>
      <c r="E99" s="42">
        <v>45501</v>
      </c>
      <c r="F99" s="40">
        <v>1.06</v>
      </c>
      <c r="G99" s="40" t="s">
        <v>106</v>
      </c>
      <c r="H99" s="40">
        <v>17850</v>
      </c>
      <c r="I99" s="43">
        <f t="shared" si="2"/>
        <v>6.36</v>
      </c>
    </row>
    <row r="100" spans="1:9" x14ac:dyDescent="0.25">
      <c r="A100" s="40">
        <v>536381</v>
      </c>
      <c r="B100" s="41">
        <v>21533</v>
      </c>
      <c r="C100" s="40" t="s">
        <v>126</v>
      </c>
      <c r="D100" s="40">
        <v>1</v>
      </c>
      <c r="E100" s="42">
        <v>45509</v>
      </c>
      <c r="F100" s="40">
        <v>4.95</v>
      </c>
      <c r="G100" s="40" t="s">
        <v>106</v>
      </c>
      <c r="H100" s="40">
        <v>15311</v>
      </c>
      <c r="I100" s="43">
        <f t="shared" ref="I100:I104" si="3">D100*F100</f>
        <v>4.95</v>
      </c>
    </row>
    <row r="101" spans="1:9" x14ac:dyDescent="0.25">
      <c r="A101" s="40" t="s">
        <v>156</v>
      </c>
      <c r="B101" s="41" t="s">
        <v>131</v>
      </c>
      <c r="C101" s="40" t="s">
        <v>132</v>
      </c>
      <c r="D101" s="40">
        <v>1</v>
      </c>
      <c r="E101" s="42">
        <v>45296</v>
      </c>
      <c r="F101" s="40">
        <v>4.6500000000000004</v>
      </c>
      <c r="G101" s="40" t="s">
        <v>106</v>
      </c>
      <c r="H101" s="40">
        <v>15311</v>
      </c>
      <c r="I101" s="43">
        <f t="shared" si="3"/>
        <v>4.6500000000000004</v>
      </c>
    </row>
    <row r="102" spans="1:9" x14ac:dyDescent="0.25">
      <c r="A102" s="40">
        <v>536381</v>
      </c>
      <c r="B102" s="41">
        <v>71270</v>
      </c>
      <c r="C102" s="40" t="s">
        <v>157</v>
      </c>
      <c r="D102" s="40">
        <v>3</v>
      </c>
      <c r="E102" s="42">
        <v>45596</v>
      </c>
      <c r="F102" s="40">
        <v>1.25</v>
      </c>
      <c r="G102" s="40" t="s">
        <v>106</v>
      </c>
      <c r="H102" s="40">
        <v>15311</v>
      </c>
      <c r="I102" s="43">
        <f t="shared" si="3"/>
        <v>3.75</v>
      </c>
    </row>
    <row r="103" spans="1:9" x14ac:dyDescent="0.25">
      <c r="A103" s="40">
        <v>536381</v>
      </c>
      <c r="B103" s="41">
        <v>21731</v>
      </c>
      <c r="C103" s="40" t="s">
        <v>105</v>
      </c>
      <c r="D103" s="40">
        <v>2</v>
      </c>
      <c r="E103" s="42">
        <v>45630</v>
      </c>
      <c r="F103" s="40">
        <v>1.65</v>
      </c>
      <c r="G103" s="40" t="s">
        <v>106</v>
      </c>
      <c r="H103" s="40">
        <v>15311</v>
      </c>
      <c r="I103" s="43">
        <f t="shared" si="3"/>
        <v>3.3</v>
      </c>
    </row>
    <row r="104" spans="1:9" x14ac:dyDescent="0.25">
      <c r="A104" s="44">
        <v>536381</v>
      </c>
      <c r="B104" s="45">
        <v>71270</v>
      </c>
      <c r="C104" s="44" t="s">
        <v>157</v>
      </c>
      <c r="D104" s="44">
        <v>1</v>
      </c>
      <c r="E104" s="46">
        <v>45483</v>
      </c>
      <c r="F104" s="44">
        <v>1.25</v>
      </c>
      <c r="G104" s="44" t="s">
        <v>106</v>
      </c>
      <c r="H104" s="44">
        <v>15311</v>
      </c>
      <c r="I104" s="47">
        <f t="shared" si="3"/>
        <v>1.25</v>
      </c>
    </row>
    <row r="105" spans="1:9" x14ac:dyDescent="0.25">
      <c r="A105"/>
      <c r="B105" s="48"/>
      <c r="C105"/>
      <c r="D105"/>
      <c r="E105"/>
      <c r="F105"/>
      <c r="I105" s="27"/>
    </row>
    <row r="106" spans="1:9" x14ac:dyDescent="0.25">
      <c r="A106"/>
      <c r="B106" s="48"/>
      <c r="C106"/>
      <c r="D106"/>
      <c r="E106"/>
      <c r="F106"/>
      <c r="I106" s="27"/>
    </row>
    <row r="107" spans="1:9" x14ac:dyDescent="0.25">
      <c r="A107"/>
      <c r="B107" s="48"/>
      <c r="C107"/>
      <c r="D107"/>
      <c r="E107"/>
      <c r="F107"/>
      <c r="I107" s="27"/>
    </row>
    <row r="108" spans="1:9" x14ac:dyDescent="0.25">
      <c r="A108"/>
      <c r="B108" s="48"/>
      <c r="C108"/>
      <c r="D108"/>
      <c r="E108"/>
      <c r="F108"/>
      <c r="I108" s="27"/>
    </row>
    <row r="109" spans="1:9" x14ac:dyDescent="0.25">
      <c r="A109"/>
      <c r="B109" s="48"/>
      <c r="C109"/>
      <c r="D109"/>
      <c r="E109"/>
      <c r="F109"/>
      <c r="I109" s="27"/>
    </row>
    <row r="110" spans="1:9" x14ac:dyDescent="0.25">
      <c r="A110"/>
      <c r="B110" s="48"/>
      <c r="C110"/>
      <c r="D110"/>
      <c r="E110"/>
      <c r="F110"/>
      <c r="I110" s="27"/>
    </row>
    <row r="111" spans="1:9" x14ac:dyDescent="0.25">
      <c r="A111"/>
      <c r="B111" s="48"/>
      <c r="C111"/>
      <c r="D111"/>
      <c r="E111"/>
      <c r="F111"/>
      <c r="I111" s="27"/>
    </row>
    <row r="112" spans="1:9" x14ac:dyDescent="0.25">
      <c r="A112"/>
      <c r="B112" s="48"/>
      <c r="C112"/>
      <c r="D112"/>
      <c r="E112"/>
      <c r="F112"/>
      <c r="I112" s="27"/>
    </row>
    <row r="113" spans="1:9" x14ac:dyDescent="0.25">
      <c r="A113"/>
      <c r="B113" s="48"/>
      <c r="C113"/>
      <c r="D113"/>
      <c r="E113"/>
      <c r="F113"/>
      <c r="I113" s="27"/>
    </row>
    <row r="114" spans="1:9" x14ac:dyDescent="0.25">
      <c r="A114"/>
      <c r="B114" s="48"/>
      <c r="C114"/>
      <c r="D114"/>
      <c r="E114"/>
      <c r="F114"/>
      <c r="I114" s="27"/>
    </row>
    <row r="115" spans="1:9" x14ac:dyDescent="0.25">
      <c r="A115"/>
      <c r="B115" s="48"/>
      <c r="C115"/>
      <c r="D115"/>
      <c r="E115"/>
      <c r="F115"/>
      <c r="I115" s="27"/>
    </row>
    <row r="116" spans="1:9" x14ac:dyDescent="0.25">
      <c r="A116"/>
      <c r="B116" s="48"/>
      <c r="C116"/>
      <c r="D116"/>
      <c r="E116"/>
      <c r="F116"/>
      <c r="I116" s="27"/>
    </row>
    <row r="117" spans="1:9" x14ac:dyDescent="0.25">
      <c r="A117"/>
      <c r="B117" s="48"/>
      <c r="C117"/>
      <c r="D117"/>
      <c r="E117"/>
      <c r="F117"/>
      <c r="I117" s="27"/>
    </row>
    <row r="118" spans="1:9" x14ac:dyDescent="0.25">
      <c r="A118"/>
      <c r="B118" s="48"/>
      <c r="C118"/>
      <c r="D118"/>
      <c r="E118"/>
      <c r="F118"/>
      <c r="I118" s="27"/>
    </row>
    <row r="119" spans="1:9" x14ac:dyDescent="0.25">
      <c r="A119"/>
      <c r="B119" s="48"/>
      <c r="C119"/>
      <c r="D119"/>
      <c r="E119"/>
      <c r="F119"/>
      <c r="I119" s="27"/>
    </row>
    <row r="120" spans="1:9" x14ac:dyDescent="0.25">
      <c r="A120"/>
      <c r="B120" s="48"/>
      <c r="C120"/>
      <c r="D120"/>
      <c r="E120"/>
      <c r="F120"/>
      <c r="I120" s="27"/>
    </row>
    <row r="121" spans="1:9" x14ac:dyDescent="0.25">
      <c r="A121"/>
      <c r="B121" s="48"/>
      <c r="C121"/>
      <c r="D121"/>
      <c r="E121"/>
      <c r="F121"/>
      <c r="I121" s="27"/>
    </row>
    <row r="122" spans="1:9" x14ac:dyDescent="0.25">
      <c r="A122"/>
      <c r="B122" s="48"/>
      <c r="C122"/>
      <c r="D122"/>
      <c r="E122"/>
      <c r="F122"/>
      <c r="I122" s="27"/>
    </row>
    <row r="123" spans="1:9" x14ac:dyDescent="0.25">
      <c r="A123"/>
      <c r="B123" s="48"/>
      <c r="C123"/>
      <c r="D123"/>
      <c r="E123"/>
      <c r="F123"/>
      <c r="I123" s="27"/>
    </row>
    <row r="124" spans="1:9" x14ac:dyDescent="0.25">
      <c r="A124"/>
      <c r="B124" s="48"/>
      <c r="C124"/>
      <c r="D124"/>
      <c r="E124"/>
      <c r="F124"/>
      <c r="I124" s="27"/>
    </row>
    <row r="125" spans="1:9" x14ac:dyDescent="0.25">
      <c r="A125"/>
      <c r="B125" s="48"/>
      <c r="C125"/>
      <c r="D125"/>
      <c r="E125"/>
      <c r="F125"/>
      <c r="I125" s="27"/>
    </row>
    <row r="126" spans="1:9" x14ac:dyDescent="0.25">
      <c r="A126"/>
      <c r="B126" s="48"/>
      <c r="C126"/>
      <c r="D126"/>
      <c r="E126"/>
      <c r="F126"/>
      <c r="I126" s="27"/>
    </row>
    <row r="127" spans="1:9" x14ac:dyDescent="0.25">
      <c r="A127"/>
      <c r="B127" s="48"/>
      <c r="C127"/>
      <c r="D127"/>
      <c r="E127"/>
      <c r="F127"/>
      <c r="I127" s="27"/>
    </row>
    <row r="128" spans="1:9" x14ac:dyDescent="0.25">
      <c r="A128"/>
      <c r="B128" s="48"/>
      <c r="C128"/>
      <c r="D128"/>
      <c r="E128"/>
      <c r="F128"/>
      <c r="I128" s="27"/>
    </row>
    <row r="129" spans="1:9" x14ac:dyDescent="0.25">
      <c r="A129"/>
      <c r="B129" s="48"/>
      <c r="C129"/>
      <c r="D129"/>
      <c r="E129"/>
      <c r="F129"/>
      <c r="I129" s="27"/>
    </row>
    <row r="130" spans="1:9" x14ac:dyDescent="0.25">
      <c r="A130"/>
      <c r="B130" s="48"/>
      <c r="C130"/>
      <c r="D130"/>
      <c r="E130"/>
      <c r="F130"/>
      <c r="I130" s="27"/>
    </row>
    <row r="131" spans="1:9" x14ac:dyDescent="0.25">
      <c r="A131"/>
      <c r="B131" s="48"/>
      <c r="C131"/>
      <c r="D131"/>
      <c r="E131"/>
      <c r="F131"/>
      <c r="I131" s="27"/>
    </row>
    <row r="132" spans="1:9" x14ac:dyDescent="0.25">
      <c r="A132"/>
      <c r="B132" s="48"/>
      <c r="C132"/>
      <c r="D132"/>
      <c r="E132"/>
      <c r="F132"/>
      <c r="I132" s="27"/>
    </row>
    <row r="133" spans="1:9" x14ac:dyDescent="0.25">
      <c r="A133"/>
      <c r="B133" s="48"/>
      <c r="C133"/>
      <c r="D133"/>
      <c r="E133"/>
      <c r="F133"/>
      <c r="I133" s="27"/>
    </row>
    <row r="134" spans="1:9" x14ac:dyDescent="0.25">
      <c r="A134"/>
      <c r="B134" s="48"/>
      <c r="C134"/>
      <c r="D134"/>
      <c r="E134"/>
      <c r="F134"/>
      <c r="I134" s="27"/>
    </row>
    <row r="135" spans="1:9" x14ac:dyDescent="0.25">
      <c r="A135"/>
      <c r="B135" s="48"/>
      <c r="C135"/>
      <c r="D135"/>
      <c r="E135"/>
      <c r="F135"/>
      <c r="I135" s="27"/>
    </row>
    <row r="136" spans="1:9" x14ac:dyDescent="0.25">
      <c r="A136"/>
      <c r="B136" s="48"/>
      <c r="C136"/>
      <c r="D136"/>
      <c r="E136"/>
      <c r="F136"/>
      <c r="I136" s="27"/>
    </row>
    <row r="137" spans="1:9" x14ac:dyDescent="0.25">
      <c r="A137"/>
      <c r="B137" s="48"/>
      <c r="C137"/>
      <c r="D137"/>
      <c r="E137"/>
      <c r="F137"/>
      <c r="I137" s="27"/>
    </row>
    <row r="138" spans="1:9" x14ac:dyDescent="0.25">
      <c r="A138"/>
      <c r="B138" s="48"/>
      <c r="C138"/>
      <c r="D138"/>
      <c r="E138"/>
      <c r="F138"/>
      <c r="I138" s="27"/>
    </row>
    <row r="139" spans="1:9" x14ac:dyDescent="0.25">
      <c r="A139"/>
      <c r="B139" s="48"/>
      <c r="C139"/>
      <c r="D139"/>
      <c r="E139"/>
      <c r="F139"/>
      <c r="I139" s="27"/>
    </row>
    <row r="140" spans="1:9" x14ac:dyDescent="0.25">
      <c r="A140"/>
      <c r="B140" s="48"/>
      <c r="C140"/>
      <c r="D140"/>
      <c r="E140"/>
      <c r="F140"/>
      <c r="I140" s="27"/>
    </row>
    <row r="141" spans="1:9" x14ac:dyDescent="0.25">
      <c r="A141"/>
      <c r="B141" s="48"/>
      <c r="C141"/>
      <c r="D141"/>
      <c r="E141"/>
      <c r="F141"/>
      <c r="I141" s="27"/>
    </row>
    <row r="142" spans="1:9" x14ac:dyDescent="0.25">
      <c r="A142"/>
      <c r="B142" s="48"/>
      <c r="C142"/>
      <c r="D142"/>
      <c r="E142"/>
      <c r="F142"/>
      <c r="I142" s="27"/>
    </row>
    <row r="143" spans="1:9" x14ac:dyDescent="0.25">
      <c r="A143"/>
      <c r="B143" s="48"/>
      <c r="C143"/>
      <c r="D143"/>
      <c r="E143"/>
      <c r="F143"/>
      <c r="I143" s="27"/>
    </row>
    <row r="144" spans="1:9" x14ac:dyDescent="0.25">
      <c r="A144"/>
      <c r="B144" s="48"/>
      <c r="C144"/>
      <c r="D144"/>
      <c r="E144"/>
      <c r="F144"/>
      <c r="I144" s="27"/>
    </row>
    <row r="145" spans="1:9" x14ac:dyDescent="0.25">
      <c r="A145"/>
      <c r="B145" s="48"/>
      <c r="C145"/>
      <c r="D145"/>
      <c r="E145"/>
      <c r="F145"/>
      <c r="I145" s="27"/>
    </row>
    <row r="146" spans="1:9" x14ac:dyDescent="0.25">
      <c r="A146"/>
      <c r="B146" s="48"/>
      <c r="C146"/>
      <c r="D146"/>
      <c r="E146"/>
      <c r="F146"/>
      <c r="I146" s="27"/>
    </row>
    <row r="147" spans="1:9" x14ac:dyDescent="0.25">
      <c r="A147"/>
      <c r="B147" s="48"/>
      <c r="C147"/>
      <c r="D147"/>
      <c r="E147"/>
      <c r="F147"/>
      <c r="I147" s="27"/>
    </row>
    <row r="148" spans="1:9" x14ac:dyDescent="0.25">
      <c r="A148"/>
      <c r="B148" s="48"/>
      <c r="C148"/>
      <c r="D148"/>
      <c r="E148"/>
      <c r="F148"/>
      <c r="I148" s="27"/>
    </row>
    <row r="149" spans="1:9" x14ac:dyDescent="0.25">
      <c r="A149"/>
      <c r="B149" s="48"/>
      <c r="C149"/>
      <c r="D149"/>
      <c r="E149"/>
      <c r="F149"/>
      <c r="I149" s="27"/>
    </row>
    <row r="150" spans="1:9" x14ac:dyDescent="0.25">
      <c r="A150"/>
      <c r="B150" s="48"/>
      <c r="C150"/>
      <c r="D150"/>
      <c r="E150"/>
      <c r="F150"/>
      <c r="I150" s="27"/>
    </row>
    <row r="151" spans="1:9" x14ac:dyDescent="0.25">
      <c r="A151"/>
      <c r="B151" s="48"/>
      <c r="C151"/>
      <c r="D151"/>
      <c r="E151"/>
      <c r="F151"/>
      <c r="I151" s="27"/>
    </row>
    <row r="152" spans="1:9" x14ac:dyDescent="0.25">
      <c r="A152"/>
      <c r="B152" s="48"/>
      <c r="C152"/>
      <c r="D152"/>
      <c r="E152"/>
      <c r="F152"/>
      <c r="I152" s="27"/>
    </row>
    <row r="153" spans="1:9" x14ac:dyDescent="0.25">
      <c r="A153"/>
      <c r="B153" s="48"/>
      <c r="C153"/>
      <c r="D153"/>
      <c r="E153"/>
      <c r="F153"/>
      <c r="I153" s="27"/>
    </row>
    <row r="154" spans="1:9" x14ac:dyDescent="0.25">
      <c r="A154"/>
      <c r="B154" s="48"/>
      <c r="C154"/>
      <c r="D154"/>
      <c r="E154"/>
      <c r="F154"/>
      <c r="I154" s="27"/>
    </row>
    <row r="155" spans="1:9" x14ac:dyDescent="0.25">
      <c r="A155"/>
      <c r="B155" s="48"/>
      <c r="C155"/>
      <c r="D155"/>
      <c r="E155"/>
      <c r="F155"/>
      <c r="I155" s="27"/>
    </row>
    <row r="156" spans="1:9" x14ac:dyDescent="0.25">
      <c r="A156"/>
      <c r="B156" s="48"/>
      <c r="C156"/>
      <c r="D156"/>
      <c r="E156"/>
      <c r="F156"/>
      <c r="I156" s="27"/>
    </row>
    <row r="157" spans="1:9" x14ac:dyDescent="0.25">
      <c r="A157"/>
      <c r="B157" s="48"/>
      <c r="C157"/>
      <c r="D157"/>
      <c r="E157"/>
      <c r="F157"/>
      <c r="I157" s="27"/>
    </row>
    <row r="158" spans="1:9" x14ac:dyDescent="0.25">
      <c r="A158"/>
      <c r="B158" s="48"/>
      <c r="C158"/>
      <c r="D158"/>
      <c r="E158"/>
      <c r="F158"/>
      <c r="I158" s="27"/>
    </row>
    <row r="159" spans="1:9" x14ac:dyDescent="0.25">
      <c r="A159"/>
      <c r="B159" s="48"/>
      <c r="C159"/>
      <c r="D159"/>
      <c r="E159"/>
      <c r="F159"/>
      <c r="I159" s="27"/>
    </row>
    <row r="160" spans="1:9" x14ac:dyDescent="0.25">
      <c r="A160"/>
      <c r="B160" s="48"/>
      <c r="C160"/>
      <c r="D160"/>
      <c r="E160"/>
      <c r="F160"/>
      <c r="I160" s="27"/>
    </row>
    <row r="161" spans="1:9" x14ac:dyDescent="0.25">
      <c r="A161"/>
      <c r="B161" s="48"/>
      <c r="C161"/>
      <c r="D161"/>
      <c r="E161"/>
      <c r="F161"/>
      <c r="I161" s="27"/>
    </row>
    <row r="162" spans="1:9" x14ac:dyDescent="0.25">
      <c r="A162"/>
      <c r="B162" s="48"/>
      <c r="C162"/>
      <c r="D162"/>
      <c r="E162"/>
      <c r="F162"/>
      <c r="I162" s="27"/>
    </row>
    <row r="163" spans="1:9" x14ac:dyDescent="0.25">
      <c r="A163"/>
      <c r="B163" s="48"/>
      <c r="C163"/>
      <c r="D163"/>
      <c r="E163"/>
      <c r="F163"/>
      <c r="I163" s="27"/>
    </row>
    <row r="164" spans="1:9" x14ac:dyDescent="0.25">
      <c r="A164"/>
      <c r="B164" s="48"/>
      <c r="C164"/>
      <c r="D164"/>
      <c r="E164"/>
      <c r="F164"/>
      <c r="I164" s="27"/>
    </row>
    <row r="165" spans="1:9" x14ac:dyDescent="0.25">
      <c r="A165"/>
      <c r="B165" s="48"/>
      <c r="C165"/>
      <c r="D165"/>
      <c r="E165"/>
      <c r="F165"/>
      <c r="I165" s="27"/>
    </row>
    <row r="166" spans="1:9" x14ac:dyDescent="0.25">
      <c r="A166"/>
      <c r="B166" s="48"/>
      <c r="C166"/>
      <c r="D166"/>
      <c r="E166"/>
      <c r="F166"/>
      <c r="I166" s="27"/>
    </row>
    <row r="167" spans="1:9" x14ac:dyDescent="0.25">
      <c r="A167"/>
      <c r="B167" s="48"/>
      <c r="C167"/>
      <c r="D167"/>
      <c r="E167"/>
      <c r="F167"/>
      <c r="I167" s="27"/>
    </row>
    <row r="168" spans="1:9" x14ac:dyDescent="0.25">
      <c r="A168"/>
      <c r="B168" s="48"/>
      <c r="C168"/>
      <c r="D168"/>
      <c r="E168"/>
      <c r="F168"/>
      <c r="I168" s="27"/>
    </row>
    <row r="169" spans="1:9" x14ac:dyDescent="0.25">
      <c r="A169"/>
      <c r="B169" s="48"/>
      <c r="C169"/>
      <c r="D169"/>
      <c r="E169"/>
      <c r="F169"/>
      <c r="I169" s="27"/>
    </row>
    <row r="170" spans="1:9" x14ac:dyDescent="0.25">
      <c r="A170"/>
      <c r="B170" s="48"/>
      <c r="C170"/>
      <c r="D170"/>
      <c r="E170"/>
      <c r="F170"/>
      <c r="I170" s="27"/>
    </row>
    <row r="171" spans="1:9" x14ac:dyDescent="0.25">
      <c r="A171"/>
      <c r="B171" s="48"/>
      <c r="C171"/>
      <c r="D171"/>
      <c r="E171"/>
      <c r="F171"/>
      <c r="I171" s="27"/>
    </row>
    <row r="172" spans="1:9" x14ac:dyDescent="0.25">
      <c r="A172"/>
      <c r="B172" s="48"/>
      <c r="C172"/>
      <c r="D172"/>
      <c r="E172"/>
      <c r="F172"/>
      <c r="I172" s="27"/>
    </row>
    <row r="173" spans="1:9" x14ac:dyDescent="0.25">
      <c r="A173"/>
      <c r="B173" s="48"/>
      <c r="C173"/>
      <c r="D173"/>
      <c r="E173"/>
      <c r="F173"/>
      <c r="I173" s="27"/>
    </row>
    <row r="174" spans="1:9" x14ac:dyDescent="0.25">
      <c r="A174"/>
      <c r="B174" s="48"/>
      <c r="C174"/>
      <c r="D174"/>
      <c r="E174"/>
      <c r="F174"/>
      <c r="I174" s="27"/>
    </row>
    <row r="175" spans="1:9" x14ac:dyDescent="0.25">
      <c r="A175"/>
      <c r="B175" s="48"/>
      <c r="C175"/>
      <c r="D175"/>
      <c r="E175"/>
      <c r="F175"/>
      <c r="I175" s="27"/>
    </row>
    <row r="176" spans="1:9" x14ac:dyDescent="0.25">
      <c r="A176"/>
      <c r="B176" s="48"/>
      <c r="C176"/>
      <c r="D176"/>
      <c r="E176"/>
      <c r="F176"/>
      <c r="I176" s="27"/>
    </row>
    <row r="177" spans="1:9" x14ac:dyDescent="0.25">
      <c r="A177"/>
      <c r="B177" s="48"/>
      <c r="C177"/>
      <c r="D177"/>
      <c r="E177"/>
      <c r="F177"/>
      <c r="I177" s="27"/>
    </row>
    <row r="178" spans="1:9" x14ac:dyDescent="0.25">
      <c r="A178"/>
      <c r="B178" s="48"/>
      <c r="C178"/>
      <c r="D178"/>
      <c r="E178"/>
      <c r="F178"/>
      <c r="I178" s="27"/>
    </row>
    <row r="179" spans="1:9" x14ac:dyDescent="0.25">
      <c r="A179"/>
      <c r="B179" s="48"/>
      <c r="C179"/>
      <c r="D179"/>
      <c r="E179"/>
      <c r="F179"/>
      <c r="I179" s="27"/>
    </row>
    <row r="180" spans="1:9" x14ac:dyDescent="0.25">
      <c r="A180"/>
      <c r="B180" s="48"/>
      <c r="C180"/>
      <c r="D180"/>
      <c r="E180"/>
      <c r="F180"/>
      <c r="I180" s="27"/>
    </row>
    <row r="181" spans="1:9" x14ac:dyDescent="0.25">
      <c r="A181"/>
      <c r="B181" s="48"/>
      <c r="C181"/>
      <c r="D181"/>
      <c r="E181"/>
      <c r="F181"/>
      <c r="I181" s="27"/>
    </row>
    <row r="182" spans="1:9" x14ac:dyDescent="0.25">
      <c r="A182"/>
      <c r="B182" s="48"/>
      <c r="C182"/>
      <c r="D182"/>
      <c r="E182"/>
      <c r="F182"/>
      <c r="I182" s="27"/>
    </row>
    <row r="183" spans="1:9" x14ac:dyDescent="0.25">
      <c r="A183"/>
      <c r="B183" s="48"/>
      <c r="C183"/>
      <c r="D183"/>
      <c r="E183"/>
      <c r="F183"/>
      <c r="I183" s="27"/>
    </row>
    <row r="184" spans="1:9" x14ac:dyDescent="0.25">
      <c r="A184"/>
      <c r="B184" s="48"/>
      <c r="C184"/>
      <c r="D184"/>
      <c r="E184"/>
      <c r="F184"/>
      <c r="I184" s="27"/>
    </row>
    <row r="185" spans="1:9" x14ac:dyDescent="0.25">
      <c r="A185"/>
      <c r="B185" s="48"/>
      <c r="C185"/>
      <c r="D185"/>
      <c r="E185"/>
      <c r="F185"/>
      <c r="I185" s="27"/>
    </row>
    <row r="186" spans="1:9" x14ac:dyDescent="0.25">
      <c r="A186"/>
      <c r="B186" s="48"/>
      <c r="C186"/>
      <c r="D186"/>
      <c r="E186"/>
      <c r="F186"/>
      <c r="I186" s="27"/>
    </row>
    <row r="187" spans="1:9" x14ac:dyDescent="0.25">
      <c r="A187"/>
      <c r="B187" s="48"/>
      <c r="C187"/>
      <c r="D187"/>
      <c r="E187"/>
      <c r="F187"/>
      <c r="I187" s="27"/>
    </row>
    <row r="188" spans="1:9" x14ac:dyDescent="0.25">
      <c r="A188"/>
      <c r="B188" s="48"/>
      <c r="C188"/>
      <c r="D188"/>
      <c r="E188"/>
      <c r="F188"/>
      <c r="I188" s="27"/>
    </row>
    <row r="189" spans="1:9" x14ac:dyDescent="0.25">
      <c r="A189"/>
      <c r="B189" s="48"/>
      <c r="C189"/>
      <c r="D189"/>
      <c r="E189"/>
      <c r="F189"/>
      <c r="I189" s="27"/>
    </row>
    <row r="190" spans="1:9" x14ac:dyDescent="0.25">
      <c r="A190"/>
      <c r="B190" s="48"/>
      <c r="C190"/>
      <c r="D190"/>
      <c r="E190"/>
      <c r="F190"/>
      <c r="I190" s="27"/>
    </row>
    <row r="191" spans="1:9" x14ac:dyDescent="0.25">
      <c r="A191"/>
      <c r="B191" s="48"/>
      <c r="C191"/>
      <c r="D191"/>
      <c r="E191"/>
      <c r="F191"/>
      <c r="I191" s="27"/>
    </row>
    <row r="192" spans="1:9" x14ac:dyDescent="0.25">
      <c r="A192"/>
      <c r="B192" s="48"/>
      <c r="C192"/>
      <c r="D192"/>
      <c r="E192"/>
      <c r="F192"/>
      <c r="I192" s="27"/>
    </row>
    <row r="193" spans="1:9" x14ac:dyDescent="0.25">
      <c r="A193"/>
      <c r="B193" s="48"/>
      <c r="C193"/>
      <c r="D193"/>
      <c r="E193"/>
      <c r="F193"/>
      <c r="I193" s="27"/>
    </row>
    <row r="194" spans="1:9" x14ac:dyDescent="0.25">
      <c r="A194"/>
      <c r="B194" s="48"/>
      <c r="C194"/>
      <c r="D194"/>
      <c r="E194"/>
      <c r="F194"/>
      <c r="I194" s="27"/>
    </row>
    <row r="195" spans="1:9" x14ac:dyDescent="0.25">
      <c r="A195"/>
      <c r="B195" s="48"/>
      <c r="C195"/>
      <c r="D195"/>
      <c r="E195"/>
      <c r="F195"/>
      <c r="I195" s="27"/>
    </row>
    <row r="196" spans="1:9" x14ac:dyDescent="0.25">
      <c r="A196"/>
      <c r="B196" s="48"/>
      <c r="C196"/>
      <c r="D196"/>
      <c r="E196"/>
      <c r="F196"/>
      <c r="I196" s="27"/>
    </row>
    <row r="197" spans="1:9" x14ac:dyDescent="0.25">
      <c r="A197"/>
      <c r="B197" s="48"/>
      <c r="C197"/>
      <c r="D197"/>
      <c r="E197"/>
      <c r="F197"/>
      <c r="I197" s="27"/>
    </row>
    <row r="198" spans="1:9" x14ac:dyDescent="0.25">
      <c r="A198"/>
      <c r="B198" s="48"/>
      <c r="C198"/>
      <c r="D198"/>
      <c r="E198"/>
      <c r="F198"/>
      <c r="I198" s="27"/>
    </row>
    <row r="199" spans="1:9" x14ac:dyDescent="0.25">
      <c r="A199"/>
      <c r="B199" s="48"/>
      <c r="C199"/>
      <c r="D199"/>
      <c r="E199"/>
      <c r="F199"/>
      <c r="I199" s="27"/>
    </row>
    <row r="200" spans="1:9" x14ac:dyDescent="0.25">
      <c r="A200"/>
      <c r="B200" s="48"/>
      <c r="C200"/>
      <c r="D200"/>
      <c r="E200"/>
      <c r="F200"/>
      <c r="I200" s="27"/>
    </row>
    <row r="201" spans="1:9" x14ac:dyDescent="0.25">
      <c r="A201"/>
      <c r="B201" s="48"/>
      <c r="C201"/>
      <c r="D201"/>
      <c r="E201"/>
      <c r="F201"/>
      <c r="I201" s="27"/>
    </row>
    <row r="202" spans="1:9" x14ac:dyDescent="0.25">
      <c r="A202"/>
      <c r="B202" s="48"/>
      <c r="C202"/>
      <c r="D202"/>
      <c r="E202"/>
      <c r="F202"/>
      <c r="I202" s="27"/>
    </row>
    <row r="203" spans="1:9" x14ac:dyDescent="0.25">
      <c r="A203"/>
      <c r="B203" s="48"/>
      <c r="C203"/>
      <c r="D203"/>
      <c r="E203"/>
      <c r="F203"/>
      <c r="I203" s="27"/>
    </row>
    <row r="204" spans="1:9" x14ac:dyDescent="0.25">
      <c r="A204"/>
      <c r="B204" s="48"/>
      <c r="C204"/>
      <c r="D204"/>
      <c r="E204"/>
      <c r="F204"/>
      <c r="I204" s="27"/>
    </row>
    <row r="205" spans="1:9" x14ac:dyDescent="0.25">
      <c r="A205"/>
      <c r="B205" s="48"/>
      <c r="C205"/>
      <c r="D205"/>
      <c r="E205"/>
      <c r="F205"/>
      <c r="I205" s="27"/>
    </row>
    <row r="206" spans="1:9" x14ac:dyDescent="0.25">
      <c r="A206"/>
      <c r="B206" s="48"/>
      <c r="C206"/>
      <c r="D206"/>
      <c r="E206"/>
      <c r="F206"/>
      <c r="I206" s="27"/>
    </row>
    <row r="207" spans="1:9" x14ac:dyDescent="0.25">
      <c r="A207"/>
      <c r="B207" s="48"/>
      <c r="C207"/>
      <c r="D207"/>
      <c r="E207"/>
      <c r="F207"/>
      <c r="I207" s="27"/>
    </row>
    <row r="208" spans="1:9" x14ac:dyDescent="0.25">
      <c r="A208"/>
      <c r="B208" s="48"/>
      <c r="C208"/>
      <c r="D208"/>
      <c r="E208"/>
      <c r="F208"/>
      <c r="I208" s="27"/>
    </row>
    <row r="209" spans="1:9" x14ac:dyDescent="0.25">
      <c r="A209"/>
      <c r="B209" s="48"/>
      <c r="C209"/>
      <c r="D209"/>
      <c r="E209"/>
      <c r="F209"/>
      <c r="I209" s="27"/>
    </row>
    <row r="210" spans="1:9" x14ac:dyDescent="0.25">
      <c r="A210"/>
      <c r="B210" s="48"/>
      <c r="C210"/>
      <c r="D210"/>
      <c r="E210"/>
      <c r="F210"/>
      <c r="I210" s="27"/>
    </row>
    <row r="211" spans="1:9" x14ac:dyDescent="0.25">
      <c r="A211"/>
      <c r="B211" s="48"/>
      <c r="C211"/>
      <c r="D211"/>
      <c r="E211"/>
      <c r="F211"/>
      <c r="I211" s="27"/>
    </row>
    <row r="212" spans="1:9" x14ac:dyDescent="0.25">
      <c r="A212"/>
      <c r="B212" s="48"/>
      <c r="C212"/>
      <c r="D212"/>
      <c r="E212"/>
      <c r="F212"/>
      <c r="I212" s="27"/>
    </row>
    <row r="213" spans="1:9" x14ac:dyDescent="0.25">
      <c r="A213"/>
      <c r="B213" s="48"/>
      <c r="C213"/>
      <c r="D213"/>
      <c r="E213"/>
      <c r="F213"/>
      <c r="I213" s="27"/>
    </row>
    <row r="214" spans="1:9" x14ac:dyDescent="0.25">
      <c r="A214"/>
      <c r="B214" s="48"/>
      <c r="C214"/>
      <c r="D214"/>
      <c r="E214"/>
      <c r="F214"/>
      <c r="I214" s="27"/>
    </row>
    <row r="215" spans="1:9" x14ac:dyDescent="0.25">
      <c r="A215"/>
      <c r="B215" s="48"/>
      <c r="C215"/>
      <c r="D215"/>
      <c r="E215"/>
      <c r="F215"/>
      <c r="I215" s="27"/>
    </row>
    <row r="216" spans="1:9" x14ac:dyDescent="0.25">
      <c r="A216"/>
      <c r="B216" s="48"/>
      <c r="C216"/>
      <c r="D216"/>
      <c r="E216"/>
      <c r="F216"/>
      <c r="I216" s="27"/>
    </row>
    <row r="217" spans="1:9" x14ac:dyDescent="0.25">
      <c r="A217"/>
      <c r="B217" s="48"/>
      <c r="C217"/>
      <c r="D217"/>
      <c r="E217"/>
      <c r="F217"/>
      <c r="I217" s="27"/>
    </row>
    <row r="218" spans="1:9" x14ac:dyDescent="0.25">
      <c r="A218"/>
      <c r="B218" s="48"/>
      <c r="C218"/>
      <c r="D218"/>
      <c r="E218"/>
      <c r="F218"/>
      <c r="I218" s="27"/>
    </row>
    <row r="219" spans="1:9" x14ac:dyDescent="0.25">
      <c r="A219"/>
      <c r="B219" s="48"/>
      <c r="C219"/>
      <c r="D219"/>
      <c r="E219"/>
      <c r="F219"/>
      <c r="I219" s="27"/>
    </row>
    <row r="220" spans="1:9" x14ac:dyDescent="0.25">
      <c r="A220"/>
      <c r="B220" s="48"/>
      <c r="C220"/>
      <c r="D220"/>
      <c r="E220"/>
      <c r="F220"/>
      <c r="I220" s="27"/>
    </row>
    <row r="221" spans="1:9" x14ac:dyDescent="0.25">
      <c r="A221"/>
      <c r="B221" s="48"/>
      <c r="C221"/>
      <c r="D221"/>
      <c r="E221"/>
      <c r="F221"/>
      <c r="I221" s="27"/>
    </row>
    <row r="222" spans="1:9" x14ac:dyDescent="0.25">
      <c r="A222"/>
      <c r="B222" s="48"/>
      <c r="C222"/>
      <c r="D222"/>
      <c r="E222"/>
      <c r="F222"/>
      <c r="I222" s="27"/>
    </row>
    <row r="223" spans="1:9" x14ac:dyDescent="0.25">
      <c r="A223"/>
      <c r="B223" s="48"/>
      <c r="C223"/>
      <c r="D223"/>
      <c r="E223"/>
      <c r="F223"/>
      <c r="I223" s="27"/>
    </row>
    <row r="224" spans="1:9" x14ac:dyDescent="0.25">
      <c r="A224"/>
      <c r="B224" s="48"/>
      <c r="C224"/>
      <c r="D224"/>
      <c r="E224"/>
      <c r="F224"/>
      <c r="I224" s="27"/>
    </row>
    <row r="225" spans="1:9" x14ac:dyDescent="0.25">
      <c r="A225"/>
      <c r="B225" s="48"/>
      <c r="C225"/>
      <c r="D225"/>
      <c r="E225"/>
      <c r="F225"/>
      <c r="I225" s="27"/>
    </row>
    <row r="226" spans="1:9" x14ac:dyDescent="0.25">
      <c r="A226"/>
      <c r="B226" s="48"/>
      <c r="C226"/>
      <c r="D226"/>
      <c r="E226"/>
      <c r="F226"/>
      <c r="I226" s="27"/>
    </row>
    <row r="227" spans="1:9" x14ac:dyDescent="0.25">
      <c r="A227"/>
      <c r="B227" s="48"/>
      <c r="C227"/>
      <c r="D227"/>
      <c r="E227"/>
      <c r="F227"/>
      <c r="I227" s="27"/>
    </row>
    <row r="228" spans="1:9" x14ac:dyDescent="0.25">
      <c r="A228"/>
      <c r="B228" s="48"/>
      <c r="C228"/>
      <c r="D228"/>
      <c r="E228"/>
      <c r="F228"/>
      <c r="I228" s="27"/>
    </row>
    <row r="229" spans="1:9" x14ac:dyDescent="0.25">
      <c r="A229"/>
      <c r="B229" s="48"/>
      <c r="C229"/>
      <c r="D229"/>
      <c r="E229"/>
      <c r="F229"/>
      <c r="I229" s="27"/>
    </row>
    <row r="230" spans="1:9" x14ac:dyDescent="0.25">
      <c r="A230"/>
      <c r="B230" s="48"/>
      <c r="C230"/>
      <c r="D230"/>
      <c r="E230"/>
      <c r="F230"/>
      <c r="I230" s="27"/>
    </row>
    <row r="231" spans="1:9" x14ac:dyDescent="0.25">
      <c r="A231"/>
      <c r="B231" s="48"/>
      <c r="C231"/>
      <c r="D231"/>
      <c r="E231"/>
      <c r="F231"/>
      <c r="I231" s="27"/>
    </row>
    <row r="232" spans="1:9" x14ac:dyDescent="0.25">
      <c r="A232"/>
      <c r="B232" s="48"/>
      <c r="C232"/>
      <c r="D232"/>
      <c r="E232"/>
      <c r="F232"/>
      <c r="I232" s="27"/>
    </row>
    <row r="233" spans="1:9" x14ac:dyDescent="0.25">
      <c r="A233"/>
      <c r="B233" s="48"/>
      <c r="C233"/>
      <c r="D233"/>
      <c r="E233"/>
      <c r="F233"/>
      <c r="I233" s="27"/>
    </row>
    <row r="234" spans="1:9" x14ac:dyDescent="0.25">
      <c r="A234"/>
      <c r="B234" s="48"/>
      <c r="C234"/>
      <c r="D234"/>
      <c r="E234"/>
      <c r="F234"/>
      <c r="I234" s="27"/>
    </row>
    <row r="235" spans="1:9" x14ac:dyDescent="0.25">
      <c r="A235"/>
      <c r="B235" s="48"/>
      <c r="C235"/>
      <c r="D235"/>
      <c r="E235"/>
      <c r="F235"/>
      <c r="I235" s="27"/>
    </row>
    <row r="236" spans="1:9" x14ac:dyDescent="0.25">
      <c r="A236"/>
      <c r="B236" s="48"/>
      <c r="C236"/>
      <c r="D236"/>
      <c r="E236"/>
      <c r="F236"/>
      <c r="I236" s="27"/>
    </row>
    <row r="237" spans="1:9" x14ac:dyDescent="0.25">
      <c r="A237"/>
      <c r="B237" s="48"/>
      <c r="C237"/>
      <c r="D237"/>
      <c r="E237"/>
      <c r="F237"/>
      <c r="I237" s="27"/>
    </row>
    <row r="238" spans="1:9" x14ac:dyDescent="0.25">
      <c r="A238"/>
      <c r="B238" s="48"/>
      <c r="C238"/>
      <c r="D238"/>
      <c r="E238"/>
      <c r="F238"/>
      <c r="I238" s="27"/>
    </row>
    <row r="239" spans="1:9" x14ac:dyDescent="0.25">
      <c r="A239"/>
      <c r="B239" s="48"/>
      <c r="C239"/>
      <c r="D239"/>
      <c r="E239"/>
      <c r="F239"/>
      <c r="I239" s="27"/>
    </row>
    <row r="240" spans="1:9" x14ac:dyDescent="0.25">
      <c r="A240"/>
      <c r="B240" s="48"/>
      <c r="C240"/>
      <c r="D240"/>
      <c r="E240"/>
      <c r="F240"/>
      <c r="I240" s="27"/>
    </row>
    <row r="241" spans="1:9" x14ac:dyDescent="0.25">
      <c r="A241"/>
      <c r="B241" s="48"/>
      <c r="C241"/>
      <c r="D241"/>
      <c r="E241"/>
      <c r="F241"/>
      <c r="I241" s="27"/>
    </row>
    <row r="242" spans="1:9" x14ac:dyDescent="0.25">
      <c r="A242"/>
      <c r="B242" s="48"/>
      <c r="C242"/>
      <c r="D242"/>
      <c r="E242"/>
      <c r="F242"/>
      <c r="I242" s="27"/>
    </row>
    <row r="243" spans="1:9" x14ac:dyDescent="0.25">
      <c r="A243"/>
      <c r="B243" s="48"/>
      <c r="C243"/>
      <c r="D243"/>
      <c r="E243"/>
      <c r="F243"/>
      <c r="I243" s="27"/>
    </row>
    <row r="244" spans="1:9" x14ac:dyDescent="0.25">
      <c r="A244"/>
      <c r="B244" s="48"/>
      <c r="C244"/>
      <c r="D244"/>
      <c r="E244"/>
      <c r="F244"/>
      <c r="I244" s="27"/>
    </row>
    <row r="245" spans="1:9" x14ac:dyDescent="0.25">
      <c r="A245"/>
      <c r="B245" s="48"/>
      <c r="C245"/>
      <c r="D245"/>
      <c r="E245"/>
      <c r="F245"/>
      <c r="I245" s="27"/>
    </row>
    <row r="246" spans="1:9" x14ac:dyDescent="0.25">
      <c r="A246"/>
      <c r="B246" s="48"/>
      <c r="C246"/>
      <c r="D246"/>
      <c r="E246"/>
      <c r="F246"/>
      <c r="I246" s="27"/>
    </row>
    <row r="247" spans="1:9" x14ac:dyDescent="0.25">
      <c r="A247"/>
      <c r="B247" s="48"/>
      <c r="C247"/>
      <c r="D247"/>
      <c r="E247"/>
      <c r="F247"/>
      <c r="I247" s="27"/>
    </row>
    <row r="248" spans="1:9" x14ac:dyDescent="0.25">
      <c r="A248"/>
      <c r="B248" s="48"/>
      <c r="C248"/>
      <c r="D248"/>
      <c r="E248"/>
      <c r="F248"/>
      <c r="I248" s="27"/>
    </row>
    <row r="249" spans="1:9" x14ac:dyDescent="0.25">
      <c r="A249"/>
      <c r="B249" s="48"/>
      <c r="C249"/>
      <c r="D249"/>
      <c r="E249"/>
      <c r="F249"/>
      <c r="I249" s="27"/>
    </row>
    <row r="250" spans="1:9" x14ac:dyDescent="0.25">
      <c r="A250"/>
      <c r="B250" s="48"/>
      <c r="C250"/>
      <c r="D250"/>
      <c r="E250"/>
      <c r="F250"/>
      <c r="I250" s="27"/>
    </row>
    <row r="251" spans="1:9" x14ac:dyDescent="0.25">
      <c r="A251"/>
      <c r="B251" s="48"/>
      <c r="C251"/>
      <c r="D251"/>
      <c r="E251"/>
      <c r="F251"/>
      <c r="I251" s="27"/>
    </row>
    <row r="252" spans="1:9" x14ac:dyDescent="0.25">
      <c r="A252"/>
      <c r="B252" s="48"/>
      <c r="C252"/>
      <c r="D252"/>
      <c r="E252"/>
      <c r="F252"/>
      <c r="I252" s="27"/>
    </row>
    <row r="253" spans="1:9" x14ac:dyDescent="0.25">
      <c r="A253"/>
      <c r="B253" s="48"/>
      <c r="C253"/>
      <c r="D253"/>
      <c r="E253"/>
      <c r="F253"/>
      <c r="I253" s="27"/>
    </row>
    <row r="254" spans="1:9" x14ac:dyDescent="0.25">
      <c r="A254"/>
      <c r="B254" s="48"/>
      <c r="C254"/>
      <c r="D254"/>
      <c r="E254"/>
      <c r="F254"/>
      <c r="I254" s="27"/>
    </row>
    <row r="255" spans="1:9" x14ac:dyDescent="0.25">
      <c r="A255"/>
      <c r="B255" s="48"/>
      <c r="C255"/>
      <c r="D255"/>
      <c r="E255"/>
      <c r="F255"/>
      <c r="I255" s="27"/>
    </row>
    <row r="256" spans="1:9" x14ac:dyDescent="0.25">
      <c r="A256"/>
      <c r="B256" s="48"/>
      <c r="C256"/>
      <c r="D256"/>
      <c r="E256"/>
      <c r="F256"/>
      <c r="I256" s="27"/>
    </row>
    <row r="257" spans="1:9" x14ac:dyDescent="0.25">
      <c r="A257"/>
      <c r="B257" s="48"/>
      <c r="C257"/>
      <c r="D257"/>
      <c r="E257"/>
      <c r="F257"/>
      <c r="I257" s="27"/>
    </row>
    <row r="258" spans="1:9" x14ac:dyDescent="0.25">
      <c r="A258"/>
      <c r="B258" s="48"/>
      <c r="C258"/>
      <c r="D258"/>
      <c r="E258"/>
      <c r="F258"/>
      <c r="I258" s="27"/>
    </row>
    <row r="259" spans="1:9" x14ac:dyDescent="0.25">
      <c r="A259"/>
      <c r="B259" s="48"/>
      <c r="C259"/>
      <c r="D259"/>
      <c r="E259"/>
      <c r="F259"/>
      <c r="I259" s="27"/>
    </row>
    <row r="260" spans="1:9" x14ac:dyDescent="0.25">
      <c r="A260"/>
      <c r="B260" s="48"/>
      <c r="C260"/>
      <c r="D260"/>
      <c r="E260"/>
      <c r="F260"/>
      <c r="I260" s="27"/>
    </row>
    <row r="261" spans="1:9" x14ac:dyDescent="0.25">
      <c r="A261"/>
      <c r="B261" s="48"/>
      <c r="C261"/>
      <c r="D261"/>
      <c r="E261"/>
      <c r="F261"/>
      <c r="I261" s="27"/>
    </row>
  </sheetData>
  <sortState xmlns:xlrd2="http://schemas.microsoft.com/office/spreadsheetml/2017/richdata2" ref="A1:I104">
    <sortCondition ref="I1:I104"/>
  </sortState>
  <pageMargins left="0.70078740157480324" right="0.70078740157480324" top="0.75196850393700787" bottom="0.75196850393700787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6"/>
  <sheetViews>
    <sheetView workbookViewId="0"/>
  </sheetViews>
  <sheetFormatPr defaultRowHeight="15" x14ac:dyDescent="0.25"/>
  <cols>
    <col min="1" max="1" width="13.7109375" bestFit="1"/>
    <col min="2" max="2" width="15.140625" bestFit="1"/>
    <col min="3" max="3" width="16.28515625" bestFit="1"/>
    <col min="4" max="4" width="17.5703125" bestFit="1"/>
    <col min="5" max="5" width="15.140625" bestFit="1"/>
    <col min="6" max="6" width="19.5703125" bestFit="1"/>
  </cols>
  <sheetData>
    <row r="1" spans="1:5" x14ac:dyDescent="0.25">
      <c r="A1" s="49"/>
      <c r="B1" s="49" t="s">
        <v>158</v>
      </c>
      <c r="C1" s="49"/>
      <c r="D1" s="49"/>
      <c r="E1" s="49"/>
    </row>
    <row r="2" spans="1:5" x14ac:dyDescent="0.25">
      <c r="A2" s="49" t="s">
        <v>159</v>
      </c>
      <c r="B2" s="49" t="s">
        <v>160</v>
      </c>
      <c r="C2" s="49" t="s">
        <v>161</v>
      </c>
      <c r="D2" s="49" t="s">
        <v>162</v>
      </c>
      <c r="E2" s="49" t="s">
        <v>163</v>
      </c>
    </row>
    <row r="3" spans="1:5" x14ac:dyDescent="0.25">
      <c r="A3" s="50" t="s">
        <v>36</v>
      </c>
      <c r="B3" s="51">
        <v>82</v>
      </c>
      <c r="C3" s="51">
        <v>4</v>
      </c>
      <c r="D3" s="51">
        <v>29.000000000000004</v>
      </c>
      <c r="E3" s="52">
        <v>209.10000000000002</v>
      </c>
    </row>
    <row r="4" spans="1:5" x14ac:dyDescent="0.25">
      <c r="A4" s="50" t="s">
        <v>35</v>
      </c>
      <c r="B4" s="51">
        <v>110</v>
      </c>
      <c r="C4" s="51">
        <v>2</v>
      </c>
      <c r="D4" s="51">
        <v>63.63961030678928</v>
      </c>
      <c r="E4" s="52">
        <v>184.5</v>
      </c>
    </row>
    <row r="5" spans="1:5" x14ac:dyDescent="0.25">
      <c r="A5" s="50" t="s">
        <v>34</v>
      </c>
      <c r="B5" s="51">
        <v>200</v>
      </c>
      <c r="C5" s="51">
        <v>2</v>
      </c>
      <c r="D5" s="51">
        <v>0</v>
      </c>
      <c r="E5" s="52">
        <v>330</v>
      </c>
    </row>
    <row r="6" spans="1:5" x14ac:dyDescent="0.25">
      <c r="A6" s="50" t="s">
        <v>137</v>
      </c>
      <c r="B6" s="51">
        <v>24</v>
      </c>
      <c r="C6" s="51">
        <v>3</v>
      </c>
      <c r="D6" s="51">
        <v>0</v>
      </c>
      <c r="E6" s="52">
        <v>66</v>
      </c>
    </row>
    <row r="7" spans="1:5" x14ac:dyDescent="0.25">
      <c r="A7" s="50" t="s">
        <v>117</v>
      </c>
      <c r="B7" s="51">
        <v>42</v>
      </c>
      <c r="C7" s="51">
        <v>4</v>
      </c>
      <c r="D7" s="51">
        <v>9</v>
      </c>
      <c r="E7" s="52">
        <v>142.38</v>
      </c>
    </row>
    <row r="8" spans="1:5" x14ac:dyDescent="0.25">
      <c r="A8" s="50" t="s">
        <v>140</v>
      </c>
      <c r="B8" s="51">
        <v>18</v>
      </c>
      <c r="C8" s="51">
        <v>3</v>
      </c>
      <c r="D8" s="51">
        <v>0</v>
      </c>
      <c r="E8" s="52">
        <v>61.019999999999996</v>
      </c>
    </row>
    <row r="9" spans="1:5" x14ac:dyDescent="0.25">
      <c r="A9" s="50" t="s">
        <v>147</v>
      </c>
      <c r="B9" s="51">
        <v>12</v>
      </c>
      <c r="C9" s="51">
        <v>2</v>
      </c>
      <c r="D9" s="51">
        <v>0</v>
      </c>
      <c r="E9" s="52">
        <v>30.599999999999998</v>
      </c>
    </row>
    <row r="10" spans="1:5" x14ac:dyDescent="0.25">
      <c r="A10" s="50" t="s">
        <v>131</v>
      </c>
      <c r="B10" s="51">
        <v>7</v>
      </c>
      <c r="C10" s="51">
        <v>2</v>
      </c>
      <c r="D10" s="51">
        <v>3.5355339059327378</v>
      </c>
      <c r="E10" s="52">
        <v>37.35</v>
      </c>
    </row>
    <row r="11" spans="1:5" x14ac:dyDescent="0.25">
      <c r="A11" s="50">
        <v>84879</v>
      </c>
      <c r="B11" s="51">
        <v>48</v>
      </c>
      <c r="C11" s="51">
        <v>2</v>
      </c>
      <c r="D11" s="51">
        <v>11.313708498984761</v>
      </c>
      <c r="E11" s="52">
        <v>81.12</v>
      </c>
    </row>
    <row r="12" spans="1:5" x14ac:dyDescent="0.25">
      <c r="A12" s="50">
        <v>82486</v>
      </c>
      <c r="B12" s="51">
        <v>8</v>
      </c>
      <c r="C12" s="51">
        <v>2</v>
      </c>
      <c r="D12" s="51">
        <v>0</v>
      </c>
      <c r="E12" s="52">
        <v>55.6</v>
      </c>
    </row>
    <row r="13" spans="1:5" x14ac:dyDescent="0.25">
      <c r="A13" s="50">
        <v>82483</v>
      </c>
      <c r="B13" s="51">
        <v>4</v>
      </c>
      <c r="C13" s="51">
        <v>2</v>
      </c>
      <c r="D13" s="51">
        <v>0</v>
      </c>
      <c r="E13" s="52">
        <v>19.8</v>
      </c>
    </row>
    <row r="14" spans="1:5" x14ac:dyDescent="0.25">
      <c r="A14" s="50">
        <v>82482</v>
      </c>
      <c r="B14" s="51">
        <v>12</v>
      </c>
      <c r="C14" s="51">
        <v>2</v>
      </c>
      <c r="D14" s="51">
        <v>0</v>
      </c>
      <c r="E14" s="52">
        <v>25.200000000000003</v>
      </c>
    </row>
    <row r="15" spans="1:5" x14ac:dyDescent="0.25">
      <c r="A15" s="50">
        <v>71270</v>
      </c>
      <c r="B15" s="51">
        <v>4</v>
      </c>
      <c r="C15" s="51">
        <v>2</v>
      </c>
      <c r="D15" s="51">
        <v>1.4142135623730951</v>
      </c>
      <c r="E15" s="52">
        <v>5</v>
      </c>
    </row>
    <row r="16" spans="1:5" x14ac:dyDescent="0.25">
      <c r="A16" s="50">
        <v>71053</v>
      </c>
      <c r="B16" s="51">
        <v>18</v>
      </c>
      <c r="C16" s="51">
        <v>3</v>
      </c>
      <c r="D16" s="51">
        <v>0</v>
      </c>
      <c r="E16" s="52">
        <v>61.019999999999996</v>
      </c>
    </row>
    <row r="17" spans="1:5" x14ac:dyDescent="0.25">
      <c r="A17" s="50">
        <v>37370</v>
      </c>
      <c r="B17" s="51">
        <v>12</v>
      </c>
      <c r="C17" s="51">
        <v>2</v>
      </c>
      <c r="D17" s="51">
        <v>0</v>
      </c>
      <c r="E17" s="52">
        <v>12.72</v>
      </c>
    </row>
    <row r="18" spans="1:5" x14ac:dyDescent="0.25">
      <c r="A18" s="50">
        <v>22969</v>
      </c>
      <c r="B18" s="51">
        <v>108</v>
      </c>
      <c r="C18" s="51">
        <v>2</v>
      </c>
      <c r="D18" s="51">
        <v>59.396969619669989</v>
      </c>
      <c r="E18" s="52">
        <v>137.4</v>
      </c>
    </row>
    <row r="19" spans="1:5" x14ac:dyDescent="0.25">
      <c r="A19" s="50">
        <v>22961</v>
      </c>
      <c r="B19" s="51">
        <v>48</v>
      </c>
      <c r="C19" s="51">
        <v>3</v>
      </c>
      <c r="D19" s="51">
        <v>6.9282032302755088</v>
      </c>
      <c r="E19" s="52">
        <v>69.599999999999994</v>
      </c>
    </row>
    <row r="20" spans="1:5" x14ac:dyDescent="0.25">
      <c r="A20" s="50">
        <v>22960</v>
      </c>
      <c r="B20" s="51">
        <v>24</v>
      </c>
      <c r="C20" s="51">
        <v>3</v>
      </c>
      <c r="D20" s="51">
        <v>3.4641016151377544</v>
      </c>
      <c r="E20" s="52">
        <v>96</v>
      </c>
    </row>
    <row r="21" spans="1:5" x14ac:dyDescent="0.25">
      <c r="A21" s="50">
        <v>22941</v>
      </c>
      <c r="B21" s="51">
        <v>8</v>
      </c>
      <c r="C21" s="51">
        <v>2</v>
      </c>
      <c r="D21" s="51">
        <v>2.8284271247461903</v>
      </c>
      <c r="E21" s="52">
        <v>68</v>
      </c>
    </row>
    <row r="22" spans="1:5" x14ac:dyDescent="0.25">
      <c r="A22" s="50">
        <v>22783</v>
      </c>
      <c r="B22" s="51">
        <v>5</v>
      </c>
      <c r="C22" s="51">
        <v>2</v>
      </c>
      <c r="D22" s="51">
        <v>2.1213203435596424</v>
      </c>
      <c r="E22" s="52">
        <v>87.75</v>
      </c>
    </row>
    <row r="23" spans="1:5" x14ac:dyDescent="0.25">
      <c r="A23" s="50">
        <v>22752</v>
      </c>
      <c r="B23" s="51">
        <v>6</v>
      </c>
      <c r="C23" s="51">
        <v>3</v>
      </c>
      <c r="D23" s="51">
        <v>0</v>
      </c>
      <c r="E23" s="52">
        <v>45.900000000000006</v>
      </c>
    </row>
    <row r="24" spans="1:5" x14ac:dyDescent="0.25">
      <c r="A24" s="50">
        <v>22727</v>
      </c>
      <c r="B24" s="51">
        <v>28</v>
      </c>
      <c r="C24" s="51">
        <v>2</v>
      </c>
      <c r="D24" s="51">
        <v>14.142135623730951</v>
      </c>
      <c r="E24" s="52">
        <v>105</v>
      </c>
    </row>
    <row r="25" spans="1:5" x14ac:dyDescent="0.25">
      <c r="A25" s="50">
        <v>22726</v>
      </c>
      <c r="B25" s="51">
        <v>20</v>
      </c>
      <c r="C25" s="51">
        <v>3</v>
      </c>
      <c r="D25" s="51">
        <v>4.6188021535170067</v>
      </c>
      <c r="E25" s="52">
        <v>75</v>
      </c>
    </row>
    <row r="26" spans="1:5" x14ac:dyDescent="0.25">
      <c r="A26" s="50">
        <v>22633</v>
      </c>
      <c r="B26" s="51">
        <v>114</v>
      </c>
      <c r="C26" s="51">
        <v>4</v>
      </c>
      <c r="D26" s="51">
        <v>45</v>
      </c>
      <c r="E26" s="52">
        <v>210.9</v>
      </c>
    </row>
    <row r="27" spans="1:5" x14ac:dyDescent="0.25">
      <c r="A27" s="50">
        <v>22632</v>
      </c>
      <c r="B27" s="51">
        <v>114</v>
      </c>
      <c r="C27" s="51">
        <v>4</v>
      </c>
      <c r="D27" s="51">
        <v>45</v>
      </c>
      <c r="E27" s="52">
        <v>210.9</v>
      </c>
    </row>
    <row r="28" spans="1:5" x14ac:dyDescent="0.25">
      <c r="A28" s="50">
        <v>22469</v>
      </c>
      <c r="B28" s="51">
        <v>52</v>
      </c>
      <c r="C28" s="51">
        <v>2</v>
      </c>
      <c r="D28" s="51">
        <v>19.798989873223331</v>
      </c>
      <c r="E28" s="52">
        <v>77.8</v>
      </c>
    </row>
    <row r="29" spans="1:5" x14ac:dyDescent="0.25">
      <c r="A29" s="50">
        <v>22464</v>
      </c>
      <c r="B29" s="51">
        <v>24</v>
      </c>
      <c r="C29" s="51">
        <v>2</v>
      </c>
      <c r="D29" s="51">
        <v>0</v>
      </c>
      <c r="E29" s="52">
        <v>39.599999999999994</v>
      </c>
    </row>
    <row r="30" spans="1:5" x14ac:dyDescent="0.25">
      <c r="A30" s="50">
        <v>22411</v>
      </c>
      <c r="B30" s="51">
        <v>20</v>
      </c>
      <c r="C30" s="51">
        <v>2</v>
      </c>
      <c r="D30" s="51">
        <v>0</v>
      </c>
      <c r="E30" s="52">
        <v>39</v>
      </c>
    </row>
    <row r="31" spans="1:5" x14ac:dyDescent="0.25">
      <c r="A31" s="50">
        <v>22086</v>
      </c>
      <c r="B31" s="51">
        <v>84</v>
      </c>
      <c r="C31" s="51">
        <v>2</v>
      </c>
      <c r="D31" s="51">
        <v>53.740115370177612</v>
      </c>
      <c r="E31" s="52">
        <v>215.8</v>
      </c>
    </row>
    <row r="32" spans="1:5" x14ac:dyDescent="0.25">
      <c r="A32" s="50">
        <v>21871</v>
      </c>
      <c r="B32" s="51">
        <v>12</v>
      </c>
      <c r="C32" s="51">
        <v>2</v>
      </c>
      <c r="D32" s="51">
        <v>0</v>
      </c>
      <c r="E32" s="52">
        <v>12.72</v>
      </c>
    </row>
    <row r="33" spans="1:5" x14ac:dyDescent="0.25">
      <c r="A33" s="50">
        <v>21791</v>
      </c>
      <c r="B33" s="51">
        <v>36</v>
      </c>
      <c r="C33" s="51">
        <v>2</v>
      </c>
      <c r="D33" s="51">
        <v>8.4852813742385695</v>
      </c>
      <c r="E33" s="52">
        <v>45</v>
      </c>
    </row>
    <row r="34" spans="1:5" x14ac:dyDescent="0.25">
      <c r="A34" s="50">
        <v>21755</v>
      </c>
      <c r="B34" s="51">
        <v>6</v>
      </c>
      <c r="C34" s="51">
        <v>2</v>
      </c>
      <c r="D34" s="51">
        <v>0</v>
      </c>
      <c r="E34" s="52">
        <v>35.700000000000003</v>
      </c>
    </row>
    <row r="35" spans="1:5" x14ac:dyDescent="0.25">
      <c r="A35" s="50">
        <v>21754</v>
      </c>
      <c r="B35" s="51">
        <v>6</v>
      </c>
      <c r="C35" s="51">
        <v>2</v>
      </c>
      <c r="D35" s="51">
        <v>0</v>
      </c>
      <c r="E35" s="52">
        <v>35.700000000000003</v>
      </c>
    </row>
    <row r="36" spans="1:5" x14ac:dyDescent="0.25">
      <c r="A36" s="50">
        <v>21731</v>
      </c>
      <c r="B36" s="51">
        <v>458</v>
      </c>
      <c r="C36" s="51">
        <v>3</v>
      </c>
      <c r="D36" s="51">
        <v>242.15972690216955</v>
      </c>
      <c r="E36" s="52">
        <v>582.9</v>
      </c>
    </row>
    <row r="37" spans="1:5" x14ac:dyDescent="0.25">
      <c r="A37" s="50">
        <v>21730</v>
      </c>
      <c r="B37" s="51">
        <v>18</v>
      </c>
      <c r="C37" s="51">
        <v>3</v>
      </c>
      <c r="D37" s="51">
        <v>0</v>
      </c>
      <c r="E37" s="52">
        <v>76.5</v>
      </c>
    </row>
    <row r="38" spans="1:5" x14ac:dyDescent="0.25">
      <c r="A38" s="50">
        <v>21533</v>
      </c>
      <c r="B38" s="51">
        <v>13</v>
      </c>
      <c r="C38" s="51">
        <v>2</v>
      </c>
      <c r="D38" s="51">
        <v>7.7781745930520225</v>
      </c>
      <c r="E38" s="52">
        <v>55.95</v>
      </c>
    </row>
    <row r="39" spans="1:5" x14ac:dyDescent="0.25">
      <c r="A39" s="50">
        <v>21523</v>
      </c>
      <c r="B39" s="51">
        <v>12</v>
      </c>
      <c r="C39" s="51">
        <v>2</v>
      </c>
      <c r="D39" s="51">
        <v>5.6568542494923806</v>
      </c>
      <c r="E39" s="52">
        <v>83.4</v>
      </c>
    </row>
    <row r="40" spans="1:5" x14ac:dyDescent="0.25">
      <c r="A40" s="50">
        <v>21485</v>
      </c>
      <c r="B40" s="51">
        <v>36</v>
      </c>
      <c r="C40" s="51">
        <v>2</v>
      </c>
      <c r="D40" s="51">
        <v>8.4852813742385695</v>
      </c>
      <c r="E40" s="52">
        <v>161.4</v>
      </c>
    </row>
    <row r="41" spans="1:5" x14ac:dyDescent="0.25">
      <c r="A41" s="50">
        <v>21094</v>
      </c>
      <c r="B41" s="51">
        <v>108</v>
      </c>
      <c r="C41" s="51">
        <v>2</v>
      </c>
      <c r="D41" s="51">
        <v>59.396969619669989</v>
      </c>
      <c r="E41" s="52">
        <v>71.64</v>
      </c>
    </row>
    <row r="42" spans="1:5" x14ac:dyDescent="0.25">
      <c r="A42" s="50">
        <v>21071</v>
      </c>
      <c r="B42" s="51">
        <v>12</v>
      </c>
      <c r="C42" s="51">
        <v>2</v>
      </c>
      <c r="D42" s="51">
        <v>0</v>
      </c>
      <c r="E42" s="52">
        <v>12.72</v>
      </c>
    </row>
    <row r="43" spans="1:5" x14ac:dyDescent="0.25">
      <c r="A43" s="50">
        <v>21068</v>
      </c>
      <c r="B43" s="51">
        <v>12</v>
      </c>
      <c r="C43" s="51">
        <v>2</v>
      </c>
      <c r="D43" s="51">
        <v>0</v>
      </c>
      <c r="E43" s="52">
        <v>12.72</v>
      </c>
    </row>
    <row r="44" spans="1:5" x14ac:dyDescent="0.25">
      <c r="A44" s="50">
        <v>20679</v>
      </c>
      <c r="B44" s="51">
        <v>12</v>
      </c>
      <c r="C44" s="51">
        <v>2</v>
      </c>
      <c r="D44" s="51">
        <v>0</v>
      </c>
      <c r="E44" s="52">
        <v>59.400000000000006</v>
      </c>
    </row>
    <row r="45" spans="1:5" x14ac:dyDescent="0.25">
      <c r="A45" s="50">
        <v>10002</v>
      </c>
      <c r="B45" s="51">
        <v>60</v>
      </c>
      <c r="C45" s="51">
        <v>2</v>
      </c>
      <c r="D45" s="51">
        <v>25.45584412271571</v>
      </c>
      <c r="E45" s="52">
        <v>51</v>
      </c>
    </row>
    <row r="46" spans="1:5" x14ac:dyDescent="0.25">
      <c r="A46" s="53" t="s">
        <v>164</v>
      </c>
      <c r="B46" s="49">
        <v>2057</v>
      </c>
      <c r="C46" s="49">
        <v>103</v>
      </c>
      <c r="D46" s="49">
        <v>48.060920554262466</v>
      </c>
      <c r="E46" s="54">
        <v>4096.8099999999986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44"/>
  <sheetViews>
    <sheetView tabSelected="1" topLeftCell="H1" workbookViewId="0">
      <pane ySplit="1" topLeftCell="A2" activePane="bottomLeft" state="frozen"/>
      <selection pane="bottomLeft" activeCell="R2" sqref="R2"/>
    </sheetView>
  </sheetViews>
  <sheetFormatPr defaultRowHeight="15" x14ac:dyDescent="0.25"/>
  <cols>
    <col min="1" max="1" width="7.28515625" bestFit="1" customWidth="1"/>
    <col min="2" max="2" width="18.42578125" bestFit="1" customWidth="1"/>
    <col min="3" max="3" width="17.28515625" bestFit="1" customWidth="1"/>
    <col min="4" max="4" width="10.5703125" bestFit="1"/>
    <col min="5" max="5" width="11.5703125" style="27" bestFit="1"/>
    <col min="6" max="6" width="16.140625" bestFit="1"/>
    <col min="7" max="7" width="32.5703125" bestFit="1" customWidth="1"/>
    <col min="8" max="8" width="24.28515625" style="27" bestFit="1" customWidth="1"/>
    <col min="9" max="9" width="30.7109375" style="27" bestFit="1" customWidth="1"/>
    <col min="10" max="10" width="32.140625" bestFit="1"/>
    <col min="11" max="11" width="10.85546875" bestFit="1" customWidth="1"/>
    <col min="12" max="12" width="14.140625" bestFit="1"/>
    <col min="13" max="13" width="16.140625" bestFit="1"/>
    <col min="14" max="14" width="23" bestFit="1"/>
    <col min="15" max="15" width="24.28515625" bestFit="1"/>
    <col min="16" max="16" width="22.85546875" bestFit="1"/>
    <col min="17" max="17" width="18.7109375" bestFit="1" customWidth="1"/>
    <col min="18" max="18" width="15.85546875" bestFit="1" customWidth="1"/>
    <col min="19" max="19" width="15.5703125" bestFit="1"/>
  </cols>
  <sheetData>
    <row r="1" spans="1:19" ht="18.75" x14ac:dyDescent="0.3">
      <c r="A1" s="55" t="s">
        <v>30</v>
      </c>
      <c r="B1" s="56" t="s">
        <v>165</v>
      </c>
      <c r="C1" s="55" t="s">
        <v>166</v>
      </c>
      <c r="D1" s="55" t="s">
        <v>104</v>
      </c>
      <c r="E1" s="57" t="s">
        <v>167</v>
      </c>
      <c r="F1" s="55" t="s">
        <v>168</v>
      </c>
      <c r="G1" s="55" t="s">
        <v>169</v>
      </c>
      <c r="H1" s="57" t="s">
        <v>170</v>
      </c>
      <c r="I1" s="57" t="s">
        <v>171</v>
      </c>
      <c r="J1" s="55" t="s">
        <v>172</v>
      </c>
      <c r="K1" s="55" t="s">
        <v>68</v>
      </c>
      <c r="L1" s="55" t="s">
        <v>71</v>
      </c>
      <c r="M1" s="55" t="s">
        <v>74</v>
      </c>
      <c r="N1" s="55" t="s">
        <v>77</v>
      </c>
      <c r="O1" s="55" t="s">
        <v>80</v>
      </c>
      <c r="P1" s="55" t="s">
        <v>173</v>
      </c>
      <c r="Q1" s="55" t="s">
        <v>174</v>
      </c>
      <c r="R1" s="55" t="s">
        <v>175</v>
      </c>
      <c r="S1" s="55" t="s">
        <v>176</v>
      </c>
    </row>
    <row r="2" spans="1:19" x14ac:dyDescent="0.25">
      <c r="A2" s="58">
        <v>21731</v>
      </c>
      <c r="B2" s="59">
        <v>458</v>
      </c>
      <c r="C2" s="59">
        <v>242.15972690216955</v>
      </c>
      <c r="D2" s="60">
        <v>582.9</v>
      </c>
      <c r="E2" s="60">
        <f t="shared" ref="E2:E9" si="0">D2/B2</f>
        <v>1.272707423580786</v>
      </c>
      <c r="F2" s="61">
        <f t="shared" ref="F2:F9" si="1">B2/365</f>
        <v>1.2547945205479452</v>
      </c>
      <c r="G2" s="62">
        <v>0.25</v>
      </c>
      <c r="H2" s="60">
        <f t="shared" ref="H2:H9" si="2">E2*G2</f>
        <v>0.31817685589519651</v>
      </c>
      <c r="I2" s="60">
        <v>100</v>
      </c>
      <c r="J2" s="61">
        <v>7</v>
      </c>
      <c r="K2" s="61">
        <f t="shared" ref="K2:K9" si="3">SQRT(2*B2*I2)/H2</f>
        <v>951.21600896113546</v>
      </c>
      <c r="L2" s="61">
        <f t="shared" ref="L2:L9" si="4">1.65*C2*SQRT(J2/365)</f>
        <v>55.33353933504042</v>
      </c>
      <c r="M2" s="61">
        <f t="shared" ref="M2:M9" si="5">(F2*J2)+L2</f>
        <v>64.117100978876039</v>
      </c>
      <c r="N2" s="63">
        <f t="shared" ref="N2:N9" si="6">(K2/2)*H2</f>
        <v>151.32745950421557</v>
      </c>
      <c r="O2" s="63">
        <f t="shared" ref="O2:O9" si="7">(B2/K2)*I2</f>
        <v>48.148895275658973</v>
      </c>
      <c r="P2" s="64">
        <f t="shared" ref="P2:P9" si="8">N2+O2</f>
        <v>199.47635477987455</v>
      </c>
      <c r="Q2" s="63">
        <f>SUM($P$2:P2)</f>
        <v>199.47635477987455</v>
      </c>
      <c r="R2" s="65">
        <f>Q2/MAX($Q:$Q)</f>
        <v>6.8709642122950443E-2</v>
      </c>
      <c r="S2" s="61" t="str">
        <f t="shared" ref="S2:S9" si="9">IF(R2&lt;=80,"A",IF(R2&lt;=95,"B","C"))</f>
        <v>A</v>
      </c>
    </row>
    <row r="3" spans="1:19" x14ac:dyDescent="0.25">
      <c r="A3" s="66" t="s">
        <v>34</v>
      </c>
      <c r="B3" s="67">
        <v>200</v>
      </c>
      <c r="C3" s="67">
        <v>0</v>
      </c>
      <c r="D3" s="68">
        <v>330</v>
      </c>
      <c r="E3" s="68">
        <f t="shared" si="0"/>
        <v>1.65</v>
      </c>
      <c r="F3" s="69">
        <f t="shared" si="1"/>
        <v>0.54794520547945202</v>
      </c>
      <c r="G3" s="70">
        <v>0.25</v>
      </c>
      <c r="H3" s="68">
        <f t="shared" si="2"/>
        <v>0.41249999999999998</v>
      </c>
      <c r="I3" s="68">
        <v>100</v>
      </c>
      <c r="J3" s="69">
        <v>7</v>
      </c>
      <c r="K3" s="69">
        <f t="shared" si="3"/>
        <v>484.84848484848487</v>
      </c>
      <c r="L3" s="69">
        <f t="shared" si="4"/>
        <v>0</v>
      </c>
      <c r="M3" s="69">
        <f t="shared" si="5"/>
        <v>3.8356164383561642</v>
      </c>
      <c r="N3" s="64">
        <f t="shared" si="6"/>
        <v>100</v>
      </c>
      <c r="O3" s="64">
        <f t="shared" si="7"/>
        <v>41.25</v>
      </c>
      <c r="P3" s="64">
        <f t="shared" si="8"/>
        <v>141.25</v>
      </c>
      <c r="Q3" s="68">
        <f t="shared" ref="Q3:Q9" si="10">SUM($P$2:P3)</f>
        <v>340.72635477987455</v>
      </c>
      <c r="R3" s="65">
        <f t="shared" ref="R3:R44" si="11">Q3/MAX($Q:$Q)</f>
        <v>0.11736321292123698</v>
      </c>
      <c r="S3" s="69" t="str">
        <f t="shared" si="9"/>
        <v>A</v>
      </c>
    </row>
    <row r="4" spans="1:19" x14ac:dyDescent="0.25">
      <c r="A4" s="66">
        <v>22633</v>
      </c>
      <c r="B4" s="67">
        <v>114</v>
      </c>
      <c r="C4" s="67">
        <v>45</v>
      </c>
      <c r="D4" s="68">
        <v>210.9</v>
      </c>
      <c r="E4" s="68">
        <f t="shared" si="0"/>
        <v>1.85</v>
      </c>
      <c r="F4" s="69">
        <f t="shared" si="1"/>
        <v>0.31232876712328766</v>
      </c>
      <c r="G4" s="70">
        <v>0.25</v>
      </c>
      <c r="H4" s="68">
        <f t="shared" si="2"/>
        <v>0.46250000000000002</v>
      </c>
      <c r="I4" s="68">
        <v>100</v>
      </c>
      <c r="J4" s="69">
        <v>7</v>
      </c>
      <c r="K4" s="69">
        <f t="shared" si="3"/>
        <v>326.479326930627</v>
      </c>
      <c r="L4" s="69">
        <f t="shared" si="4"/>
        <v>10.282507756059543</v>
      </c>
      <c r="M4" s="69">
        <f t="shared" si="5"/>
        <v>12.468809125922556</v>
      </c>
      <c r="N4" s="64">
        <f t="shared" si="6"/>
        <v>75.498344352707491</v>
      </c>
      <c r="O4" s="64">
        <f t="shared" si="7"/>
        <v>34.917984263127224</v>
      </c>
      <c r="P4" s="64">
        <f t="shared" si="8"/>
        <v>110.41632861583471</v>
      </c>
      <c r="Q4" s="68">
        <f t="shared" si="10"/>
        <v>451.14268339570924</v>
      </c>
      <c r="R4" s="65">
        <f t="shared" si="11"/>
        <v>0.15539612379980255</v>
      </c>
      <c r="S4" s="69" t="str">
        <f t="shared" si="9"/>
        <v>A</v>
      </c>
    </row>
    <row r="5" spans="1:19" x14ac:dyDescent="0.25">
      <c r="A5" s="66">
        <v>22632</v>
      </c>
      <c r="B5" s="67">
        <v>114</v>
      </c>
      <c r="C5" s="67">
        <v>45</v>
      </c>
      <c r="D5" s="68">
        <v>210.9</v>
      </c>
      <c r="E5" s="68">
        <f t="shared" si="0"/>
        <v>1.85</v>
      </c>
      <c r="F5" s="69">
        <f t="shared" si="1"/>
        <v>0.31232876712328766</v>
      </c>
      <c r="G5" s="70">
        <v>0.25</v>
      </c>
      <c r="H5" s="68">
        <f t="shared" si="2"/>
        <v>0.46250000000000002</v>
      </c>
      <c r="I5" s="68">
        <v>100</v>
      </c>
      <c r="J5" s="69">
        <v>7</v>
      </c>
      <c r="K5" s="69">
        <f t="shared" si="3"/>
        <v>326.479326930627</v>
      </c>
      <c r="L5" s="69">
        <f t="shared" si="4"/>
        <v>10.282507756059543</v>
      </c>
      <c r="M5" s="69">
        <f t="shared" si="5"/>
        <v>12.468809125922556</v>
      </c>
      <c r="N5" s="64">
        <f t="shared" si="6"/>
        <v>75.498344352707491</v>
      </c>
      <c r="O5" s="64">
        <f t="shared" si="7"/>
        <v>34.917984263127224</v>
      </c>
      <c r="P5" s="64">
        <f t="shared" si="8"/>
        <v>110.41632861583471</v>
      </c>
      <c r="Q5" s="68">
        <f t="shared" si="10"/>
        <v>561.55901201154393</v>
      </c>
      <c r="R5" s="65">
        <f t="shared" si="11"/>
        <v>0.19342903467836811</v>
      </c>
      <c r="S5" s="69" t="str">
        <f t="shared" si="9"/>
        <v>A</v>
      </c>
    </row>
    <row r="6" spans="1:19" x14ac:dyDescent="0.25">
      <c r="A6" s="66">
        <v>22086</v>
      </c>
      <c r="B6" s="67">
        <v>84</v>
      </c>
      <c r="C6" s="67">
        <v>53.740115370177612</v>
      </c>
      <c r="D6" s="68">
        <v>215.8</v>
      </c>
      <c r="E6" s="68">
        <f t="shared" si="0"/>
        <v>2.5690476190476192</v>
      </c>
      <c r="F6" s="69">
        <f t="shared" si="1"/>
        <v>0.23013698630136986</v>
      </c>
      <c r="G6" s="70">
        <v>0.25</v>
      </c>
      <c r="H6" s="68">
        <f t="shared" si="2"/>
        <v>0.64226190476190481</v>
      </c>
      <c r="I6" s="68">
        <v>100</v>
      </c>
      <c r="J6" s="69">
        <v>7</v>
      </c>
      <c r="K6" s="69">
        <f t="shared" si="3"/>
        <v>201.80990497359042</v>
      </c>
      <c r="L6" s="69">
        <f t="shared" si="4"/>
        <v>12.279625624564131</v>
      </c>
      <c r="M6" s="69">
        <f t="shared" si="5"/>
        <v>13.89058452867372</v>
      </c>
      <c r="N6" s="64">
        <f t="shared" si="6"/>
        <v>64.807406984078597</v>
      </c>
      <c r="O6" s="64">
        <f t="shared" si="7"/>
        <v>41.623328652274303</v>
      </c>
      <c r="P6" s="64">
        <f t="shared" si="8"/>
        <v>106.43073563635289</v>
      </c>
      <c r="Q6" s="68">
        <f t="shared" si="10"/>
        <v>667.98974764789682</v>
      </c>
      <c r="R6" s="65">
        <f t="shared" si="11"/>
        <v>0.23008910782100184</v>
      </c>
      <c r="S6" s="69" t="str">
        <f t="shared" si="9"/>
        <v>A</v>
      </c>
    </row>
    <row r="7" spans="1:19" x14ac:dyDescent="0.25">
      <c r="A7" s="66" t="s">
        <v>35</v>
      </c>
      <c r="B7" s="67">
        <v>110</v>
      </c>
      <c r="C7" s="67">
        <v>63.63961030678928</v>
      </c>
      <c r="D7" s="68">
        <v>184.5</v>
      </c>
      <c r="E7" s="68">
        <f t="shared" si="0"/>
        <v>1.6772727272727272</v>
      </c>
      <c r="F7" s="69">
        <f t="shared" si="1"/>
        <v>0.30136986301369861</v>
      </c>
      <c r="G7" s="70">
        <v>0.25</v>
      </c>
      <c r="H7" s="68">
        <f t="shared" si="2"/>
        <v>0.41931818181818181</v>
      </c>
      <c r="I7" s="68">
        <v>100</v>
      </c>
      <c r="J7" s="69">
        <v>7</v>
      </c>
      <c r="K7" s="69">
        <f t="shared" si="3"/>
        <v>353.72654030591781</v>
      </c>
      <c r="L7" s="69">
        <f t="shared" si="4"/>
        <v>14.541661923825945</v>
      </c>
      <c r="M7" s="69">
        <f t="shared" si="5"/>
        <v>16.651250964921836</v>
      </c>
      <c r="N7" s="64">
        <f t="shared" si="6"/>
        <v>74.16198487095663</v>
      </c>
      <c r="O7" s="64">
        <f t="shared" si="7"/>
        <v>31.097468656117037</v>
      </c>
      <c r="P7" s="64">
        <f t="shared" si="8"/>
        <v>105.25945352707367</v>
      </c>
      <c r="Q7" s="68">
        <f t="shared" si="10"/>
        <v>773.24920117497049</v>
      </c>
      <c r="R7" s="65">
        <f t="shared" si="11"/>
        <v>0.26634573277228274</v>
      </c>
      <c r="S7" s="69" t="str">
        <f t="shared" si="9"/>
        <v>A</v>
      </c>
    </row>
    <row r="8" spans="1:19" x14ac:dyDescent="0.25">
      <c r="A8" s="66" t="s">
        <v>36</v>
      </c>
      <c r="B8" s="67">
        <v>82</v>
      </c>
      <c r="C8" s="67">
        <v>29.000000000000004</v>
      </c>
      <c r="D8" s="68">
        <v>209.10000000000002</v>
      </c>
      <c r="E8" s="68">
        <f t="shared" si="0"/>
        <v>2.5500000000000003</v>
      </c>
      <c r="F8" s="69">
        <f t="shared" si="1"/>
        <v>0.22465753424657534</v>
      </c>
      <c r="G8" s="70">
        <v>0.25</v>
      </c>
      <c r="H8" s="68">
        <f t="shared" si="2"/>
        <v>0.63750000000000007</v>
      </c>
      <c r="I8" s="68">
        <v>100</v>
      </c>
      <c r="J8" s="69">
        <v>7</v>
      </c>
      <c r="K8" s="69">
        <f t="shared" si="3"/>
        <v>200.88232901750112</v>
      </c>
      <c r="L8" s="69">
        <f t="shared" si="4"/>
        <v>6.6265049983494828</v>
      </c>
      <c r="M8" s="69">
        <f t="shared" si="5"/>
        <v>8.1991077380755097</v>
      </c>
      <c r="N8" s="64">
        <f t="shared" si="6"/>
        <v>64.031242374328485</v>
      </c>
      <c r="O8" s="64">
        <f t="shared" si="7"/>
        <v>40.819917013634416</v>
      </c>
      <c r="P8" s="64">
        <f t="shared" si="8"/>
        <v>104.85115938796289</v>
      </c>
      <c r="Q8" s="68">
        <f t="shared" si="10"/>
        <v>878.10036056293336</v>
      </c>
      <c r="R8" s="65">
        <f t="shared" si="11"/>
        <v>0.30246172078336014</v>
      </c>
      <c r="S8" s="69" t="str">
        <f t="shared" si="9"/>
        <v>A</v>
      </c>
    </row>
    <row r="9" spans="1:19" x14ac:dyDescent="0.25">
      <c r="A9" s="66">
        <v>22969</v>
      </c>
      <c r="B9" s="67">
        <v>108</v>
      </c>
      <c r="C9" s="67">
        <v>59.396969619669989</v>
      </c>
      <c r="D9" s="68">
        <v>137.4</v>
      </c>
      <c r="E9" s="68">
        <f t="shared" si="0"/>
        <v>1.2722222222222224</v>
      </c>
      <c r="F9" s="69">
        <f t="shared" si="1"/>
        <v>0.29589041095890412</v>
      </c>
      <c r="G9" s="70">
        <v>0.25</v>
      </c>
      <c r="H9" s="68">
        <f t="shared" si="2"/>
        <v>0.31805555555555559</v>
      </c>
      <c r="I9" s="68">
        <v>100</v>
      </c>
      <c r="J9" s="69">
        <v>7</v>
      </c>
      <c r="K9" s="69">
        <f t="shared" si="3"/>
        <v>462.08714798355146</v>
      </c>
      <c r="L9" s="69">
        <f t="shared" si="4"/>
        <v>13.57221779557088</v>
      </c>
      <c r="M9" s="69">
        <f t="shared" si="5"/>
        <v>15.643450672283208</v>
      </c>
      <c r="N9" s="64">
        <f t="shared" si="6"/>
        <v>73.484692283495349</v>
      </c>
      <c r="O9" s="64">
        <f t="shared" si="7"/>
        <v>23.37221462905616</v>
      </c>
      <c r="P9" s="64">
        <f t="shared" si="8"/>
        <v>96.856906912551509</v>
      </c>
      <c r="Q9" s="68">
        <f t="shared" si="10"/>
        <v>974.95726747548485</v>
      </c>
      <c r="R9" s="65">
        <f t="shared" si="11"/>
        <v>0.33582408805962827</v>
      </c>
      <c r="S9" s="69" t="str">
        <f t="shared" si="9"/>
        <v>A</v>
      </c>
    </row>
    <row r="10" spans="1:19" x14ac:dyDescent="0.25">
      <c r="A10" s="66">
        <v>21485</v>
      </c>
      <c r="B10" s="67">
        <v>36</v>
      </c>
      <c r="C10" s="67">
        <v>8.4852813742385695</v>
      </c>
      <c r="D10" s="68">
        <v>161.4</v>
      </c>
      <c r="E10" s="68">
        <f t="shared" ref="E10:E44" si="12">D10/B10</f>
        <v>4.4833333333333334</v>
      </c>
      <c r="F10" s="69">
        <f t="shared" ref="F10:F44" si="13">B10/365</f>
        <v>9.8630136986301367E-2</v>
      </c>
      <c r="G10" s="70">
        <v>0.25</v>
      </c>
      <c r="H10" s="68">
        <f t="shared" ref="H10:H44" si="14">E10*G10</f>
        <v>1.1208333333333333</v>
      </c>
      <c r="I10" s="68">
        <v>100</v>
      </c>
      <c r="J10" s="69">
        <v>7</v>
      </c>
      <c r="K10" s="69">
        <f t="shared" ref="K10:K44" si="15">SQRT(2*B10*I10)/H10</f>
        <v>75.705112632611787</v>
      </c>
      <c r="L10" s="69">
        <f t="shared" ref="L10:L44" si="16">1.65*C10*SQRT(J10/365)</f>
        <v>1.9388882565101258</v>
      </c>
      <c r="M10" s="69">
        <f t="shared" ref="M10:M44" si="17">(F10*J10)+L10</f>
        <v>2.6292992154142354</v>
      </c>
      <c r="N10" s="64">
        <f t="shared" ref="N10:N44" si="18">(K10/2)*H10</f>
        <v>42.426406871192853</v>
      </c>
      <c r="O10" s="64">
        <f t="shared" ref="O10:O44" si="19">(B10/K10)*I10</f>
        <v>47.552931034795314</v>
      </c>
      <c r="P10" s="64">
        <f t="shared" ref="P10:P44" si="20">N10+O10</f>
        <v>89.97933790598816</v>
      </c>
      <c r="Q10" s="68">
        <f t="shared" ref="Q10:Q44" si="21">SUM($P$2:P10)</f>
        <v>1064.9366053814731</v>
      </c>
      <c r="R10" s="65">
        <f t="shared" si="11"/>
        <v>0.36681747628753586</v>
      </c>
      <c r="S10" s="69" t="str">
        <f t="shared" ref="S10:S44" si="22">IF(R10&lt;=80,"A",IF(R10&lt;=95,"B","C"))</f>
        <v>A</v>
      </c>
    </row>
    <row r="11" spans="1:19" x14ac:dyDescent="0.25">
      <c r="A11" s="66">
        <v>21094</v>
      </c>
      <c r="B11" s="67">
        <v>108</v>
      </c>
      <c r="C11" s="67">
        <v>59.396969619669989</v>
      </c>
      <c r="D11" s="68">
        <v>71.64</v>
      </c>
      <c r="E11" s="68">
        <f t="shared" si="12"/>
        <v>0.66333333333333333</v>
      </c>
      <c r="F11" s="69">
        <f t="shared" si="13"/>
        <v>0.29589041095890412</v>
      </c>
      <c r="G11" s="70">
        <v>0.25</v>
      </c>
      <c r="H11" s="68">
        <f t="shared" si="14"/>
        <v>0.16583333333333333</v>
      </c>
      <c r="I11" s="68">
        <v>100</v>
      </c>
      <c r="J11" s="69">
        <v>7</v>
      </c>
      <c r="K11" s="69">
        <f t="shared" si="15"/>
        <v>886.24754512758216</v>
      </c>
      <c r="L11" s="69">
        <f t="shared" si="16"/>
        <v>13.57221779557088</v>
      </c>
      <c r="M11" s="69">
        <f t="shared" si="17"/>
        <v>15.643450672283208</v>
      </c>
      <c r="N11" s="64">
        <f t="shared" si="18"/>
        <v>73.484692283495349</v>
      </c>
      <c r="O11" s="64">
        <f t="shared" si="19"/>
        <v>12.186211470346308</v>
      </c>
      <c r="P11" s="64">
        <f t="shared" si="20"/>
        <v>85.670903753841657</v>
      </c>
      <c r="Q11" s="68">
        <f t="shared" si="21"/>
        <v>1150.6075091353148</v>
      </c>
      <c r="R11" s="65">
        <f t="shared" si="11"/>
        <v>0.39632682411862064</v>
      </c>
      <c r="S11" s="69" t="str">
        <f t="shared" si="22"/>
        <v>A</v>
      </c>
    </row>
    <row r="12" spans="1:19" x14ac:dyDescent="0.25">
      <c r="A12" s="66">
        <v>22783</v>
      </c>
      <c r="B12" s="67">
        <v>5</v>
      </c>
      <c r="C12" s="67">
        <v>2.1213203435596424</v>
      </c>
      <c r="D12" s="68">
        <v>87.75</v>
      </c>
      <c r="E12" s="68">
        <f t="shared" si="12"/>
        <v>17.55</v>
      </c>
      <c r="F12" s="69">
        <f t="shared" si="13"/>
        <v>1.3698630136986301E-2</v>
      </c>
      <c r="G12" s="70">
        <v>0.25</v>
      </c>
      <c r="H12" s="68">
        <f t="shared" si="14"/>
        <v>4.3875000000000002</v>
      </c>
      <c r="I12" s="68">
        <v>100</v>
      </c>
      <c r="J12" s="69">
        <v>7</v>
      </c>
      <c r="K12" s="69">
        <f t="shared" si="15"/>
        <v>7.2074704505262206</v>
      </c>
      <c r="L12" s="69">
        <f t="shared" si="16"/>
        <v>0.48472206412753144</v>
      </c>
      <c r="M12" s="69">
        <f t="shared" si="17"/>
        <v>0.58061247508643554</v>
      </c>
      <c r="N12" s="64">
        <f t="shared" si="18"/>
        <v>15.811388300841896</v>
      </c>
      <c r="O12" s="64">
        <f t="shared" si="19"/>
        <v>69.37246616994382</v>
      </c>
      <c r="P12" s="64">
        <f t="shared" si="20"/>
        <v>85.183854470785718</v>
      </c>
      <c r="Q12" s="68">
        <f t="shared" si="21"/>
        <v>1235.7913636061005</v>
      </c>
      <c r="R12" s="65">
        <f t="shared" si="11"/>
        <v>0.42566840779554321</v>
      </c>
      <c r="S12" s="69" t="str">
        <f t="shared" si="22"/>
        <v>A</v>
      </c>
    </row>
    <row r="13" spans="1:19" x14ac:dyDescent="0.25">
      <c r="A13" s="66" t="s">
        <v>117</v>
      </c>
      <c r="B13" s="67">
        <v>42</v>
      </c>
      <c r="C13" s="67">
        <v>9</v>
      </c>
      <c r="D13" s="68">
        <v>142.38</v>
      </c>
      <c r="E13" s="68">
        <f t="shared" si="12"/>
        <v>3.3899999999999997</v>
      </c>
      <c r="F13" s="69">
        <f t="shared" si="13"/>
        <v>0.11506849315068493</v>
      </c>
      <c r="G13" s="70">
        <v>0.25</v>
      </c>
      <c r="H13" s="68">
        <f t="shared" si="14"/>
        <v>0.84749999999999992</v>
      </c>
      <c r="I13" s="68">
        <v>100</v>
      </c>
      <c r="J13" s="69">
        <v>7</v>
      </c>
      <c r="K13" s="69">
        <f t="shared" si="15"/>
        <v>108.14337923199622</v>
      </c>
      <c r="L13" s="69">
        <f t="shared" si="16"/>
        <v>2.0565015512119085</v>
      </c>
      <c r="M13" s="69">
        <f t="shared" si="17"/>
        <v>2.861981003266703</v>
      </c>
      <c r="N13" s="64">
        <f t="shared" si="18"/>
        <v>45.825756949558397</v>
      </c>
      <c r="O13" s="64">
        <f t="shared" si="19"/>
        <v>38.837329014750743</v>
      </c>
      <c r="P13" s="64">
        <f t="shared" si="20"/>
        <v>84.663085964309147</v>
      </c>
      <c r="Q13" s="68">
        <f t="shared" si="21"/>
        <v>1320.4544495704097</v>
      </c>
      <c r="R13" s="65">
        <f t="shared" si="11"/>
        <v>0.45483061272981529</v>
      </c>
      <c r="S13" s="69" t="str">
        <f t="shared" si="22"/>
        <v>A</v>
      </c>
    </row>
    <row r="14" spans="1:19" x14ac:dyDescent="0.25">
      <c r="A14" s="66">
        <v>22727</v>
      </c>
      <c r="B14" s="67">
        <v>28</v>
      </c>
      <c r="C14" s="67">
        <v>14.142135623730951</v>
      </c>
      <c r="D14" s="68">
        <v>105</v>
      </c>
      <c r="E14" s="68">
        <f t="shared" si="12"/>
        <v>3.75</v>
      </c>
      <c r="F14" s="69">
        <f t="shared" si="13"/>
        <v>7.6712328767123292E-2</v>
      </c>
      <c r="G14" s="70">
        <v>0.25</v>
      </c>
      <c r="H14" s="68">
        <f t="shared" si="14"/>
        <v>0.9375</v>
      </c>
      <c r="I14" s="68">
        <v>100</v>
      </c>
      <c r="J14" s="69">
        <v>7</v>
      </c>
      <c r="K14" s="69">
        <f t="shared" si="15"/>
        <v>79.822024251177425</v>
      </c>
      <c r="L14" s="69">
        <f t="shared" si="16"/>
        <v>3.2314804275168769</v>
      </c>
      <c r="M14" s="69">
        <f t="shared" si="17"/>
        <v>3.7684667288867399</v>
      </c>
      <c r="N14" s="64">
        <f t="shared" si="18"/>
        <v>37.416573867739416</v>
      </c>
      <c r="O14" s="64">
        <f t="shared" si="19"/>
        <v>35.078038001005694</v>
      </c>
      <c r="P14" s="64">
        <f t="shared" si="20"/>
        <v>72.49461186874511</v>
      </c>
      <c r="Q14" s="68">
        <f t="shared" si="21"/>
        <v>1392.9490614391548</v>
      </c>
      <c r="R14" s="65">
        <f t="shared" si="11"/>
        <v>0.47980138604698552</v>
      </c>
      <c r="S14" s="69" t="str">
        <f t="shared" si="22"/>
        <v>A</v>
      </c>
    </row>
    <row r="15" spans="1:19" x14ac:dyDescent="0.25">
      <c r="A15" s="66">
        <v>22469</v>
      </c>
      <c r="B15" s="67">
        <v>52</v>
      </c>
      <c r="C15" s="67">
        <v>19.798989873223331</v>
      </c>
      <c r="D15" s="68">
        <v>77.8</v>
      </c>
      <c r="E15" s="68">
        <f t="shared" si="12"/>
        <v>1.4961538461538462</v>
      </c>
      <c r="F15" s="69">
        <f t="shared" si="13"/>
        <v>0.14246575342465753</v>
      </c>
      <c r="G15" s="70">
        <v>0.25</v>
      </c>
      <c r="H15" s="68">
        <f t="shared" si="14"/>
        <v>0.37403846153846154</v>
      </c>
      <c r="I15" s="68">
        <v>100</v>
      </c>
      <c r="J15" s="69">
        <v>7</v>
      </c>
      <c r="K15" s="69">
        <f t="shared" si="15"/>
        <v>272.64680175508977</v>
      </c>
      <c r="L15" s="69">
        <f t="shared" si="16"/>
        <v>4.5240725985236274</v>
      </c>
      <c r="M15" s="69">
        <f t="shared" si="17"/>
        <v>5.5213328724962301</v>
      </c>
      <c r="N15" s="64">
        <f t="shared" si="18"/>
        <v>50.990195135927848</v>
      </c>
      <c r="O15" s="64">
        <f t="shared" si="19"/>
        <v>19.072294142188397</v>
      </c>
      <c r="P15" s="64">
        <f t="shared" si="20"/>
        <v>70.062489278116246</v>
      </c>
      <c r="Q15" s="68">
        <f t="shared" si="21"/>
        <v>1463.0115507172711</v>
      </c>
      <c r="R15" s="65">
        <f t="shared" si="11"/>
        <v>0.50393441459492905</v>
      </c>
      <c r="S15" s="69" t="str">
        <f t="shared" si="22"/>
        <v>A</v>
      </c>
    </row>
    <row r="16" spans="1:19" x14ac:dyDescent="0.25">
      <c r="A16" s="66">
        <v>84879</v>
      </c>
      <c r="B16" s="67">
        <v>48</v>
      </c>
      <c r="C16" s="67">
        <v>11.313708498984761</v>
      </c>
      <c r="D16" s="68">
        <v>81.12</v>
      </c>
      <c r="E16" s="68">
        <f t="shared" si="12"/>
        <v>1.6900000000000002</v>
      </c>
      <c r="F16" s="69">
        <f t="shared" si="13"/>
        <v>0.13150684931506848</v>
      </c>
      <c r="G16" s="70">
        <v>0.25</v>
      </c>
      <c r="H16" s="68">
        <f t="shared" si="14"/>
        <v>0.42250000000000004</v>
      </c>
      <c r="I16" s="68">
        <v>100</v>
      </c>
      <c r="J16" s="69">
        <v>7</v>
      </c>
      <c r="K16" s="69">
        <f t="shared" si="15"/>
        <v>231.90435434633636</v>
      </c>
      <c r="L16" s="69">
        <f t="shared" si="16"/>
        <v>2.585184342013501</v>
      </c>
      <c r="M16" s="69">
        <f t="shared" si="17"/>
        <v>3.5057322872189802</v>
      </c>
      <c r="N16" s="64">
        <f t="shared" si="18"/>
        <v>48.989794855663561</v>
      </c>
      <c r="O16" s="64">
        <f t="shared" si="19"/>
        <v>20.698188326517858</v>
      </c>
      <c r="P16" s="64">
        <f t="shared" si="20"/>
        <v>69.687983182181426</v>
      </c>
      <c r="Q16" s="68">
        <f t="shared" si="21"/>
        <v>1532.6995338994525</v>
      </c>
      <c r="R16" s="65">
        <f t="shared" si="11"/>
        <v>0.52793844449612592</v>
      </c>
      <c r="S16" s="69" t="str">
        <f t="shared" si="22"/>
        <v>A</v>
      </c>
    </row>
    <row r="17" spans="1:19" x14ac:dyDescent="0.25">
      <c r="A17" s="66">
        <v>22960</v>
      </c>
      <c r="B17" s="67">
        <v>24</v>
      </c>
      <c r="C17" s="67">
        <v>3.4641016151377544</v>
      </c>
      <c r="D17" s="68">
        <v>96</v>
      </c>
      <c r="E17" s="68">
        <f t="shared" si="12"/>
        <v>4</v>
      </c>
      <c r="F17" s="69">
        <f t="shared" si="13"/>
        <v>6.575342465753424E-2</v>
      </c>
      <c r="G17" s="70">
        <v>0.25</v>
      </c>
      <c r="H17" s="68">
        <f t="shared" si="14"/>
        <v>1</v>
      </c>
      <c r="I17" s="68">
        <v>100</v>
      </c>
      <c r="J17" s="69">
        <v>7</v>
      </c>
      <c r="K17" s="69">
        <f t="shared" si="15"/>
        <v>69.282032302755098</v>
      </c>
      <c r="L17" s="69">
        <f t="shared" si="16"/>
        <v>0.79154781612071878</v>
      </c>
      <c r="M17" s="69">
        <f t="shared" si="17"/>
        <v>1.2518217887234584</v>
      </c>
      <c r="N17" s="64">
        <f t="shared" si="18"/>
        <v>34.641016151377549</v>
      </c>
      <c r="O17" s="64">
        <f t="shared" si="19"/>
        <v>34.641016151377542</v>
      </c>
      <c r="P17" s="64">
        <f t="shared" si="20"/>
        <v>69.282032302755084</v>
      </c>
      <c r="Q17" s="68">
        <f t="shared" si="21"/>
        <v>1601.9815662022077</v>
      </c>
      <c r="R17" s="65">
        <f t="shared" si="11"/>
        <v>0.55180264459305539</v>
      </c>
      <c r="S17" s="69" t="str">
        <f t="shared" si="22"/>
        <v>A</v>
      </c>
    </row>
    <row r="18" spans="1:19" x14ac:dyDescent="0.25">
      <c r="A18" s="66">
        <v>21523</v>
      </c>
      <c r="B18" s="67">
        <v>12</v>
      </c>
      <c r="C18" s="67">
        <v>5.6568542494923806</v>
      </c>
      <c r="D18" s="68">
        <v>83.4</v>
      </c>
      <c r="E18" s="68">
        <f t="shared" si="12"/>
        <v>6.95</v>
      </c>
      <c r="F18" s="69">
        <f t="shared" si="13"/>
        <v>3.287671232876712E-2</v>
      </c>
      <c r="G18" s="70">
        <v>0.25</v>
      </c>
      <c r="H18" s="68">
        <f t="shared" si="14"/>
        <v>1.7375</v>
      </c>
      <c r="I18" s="68">
        <v>100</v>
      </c>
      <c r="J18" s="69">
        <v>7</v>
      </c>
      <c r="K18" s="69">
        <f t="shared" si="15"/>
        <v>28.195565384554566</v>
      </c>
      <c r="L18" s="69">
        <f t="shared" si="16"/>
        <v>1.2925921710067505</v>
      </c>
      <c r="M18" s="69">
        <f t="shared" si="17"/>
        <v>1.5227291573081203</v>
      </c>
      <c r="N18" s="64">
        <f t="shared" si="18"/>
        <v>24.494897427831781</v>
      </c>
      <c r="O18" s="64">
        <f t="shared" si="19"/>
        <v>42.559884280857723</v>
      </c>
      <c r="P18" s="64">
        <f t="shared" si="20"/>
        <v>67.054781708689504</v>
      </c>
      <c r="Q18" s="68">
        <f t="shared" si="21"/>
        <v>1669.0363479108971</v>
      </c>
      <c r="R18" s="65">
        <f t="shared" si="11"/>
        <v>0.57489966809201021</v>
      </c>
      <c r="S18" s="69" t="str">
        <f t="shared" si="22"/>
        <v>A</v>
      </c>
    </row>
    <row r="19" spans="1:19" x14ac:dyDescent="0.25">
      <c r="A19" s="66">
        <v>22961</v>
      </c>
      <c r="B19" s="67">
        <v>48</v>
      </c>
      <c r="C19" s="67">
        <v>6.9282032302755088</v>
      </c>
      <c r="D19" s="68">
        <v>69.599999999999994</v>
      </c>
      <c r="E19" s="68">
        <f t="shared" si="12"/>
        <v>1.45</v>
      </c>
      <c r="F19" s="69">
        <f t="shared" si="13"/>
        <v>0.13150684931506848</v>
      </c>
      <c r="G19" s="70">
        <v>0.25</v>
      </c>
      <c r="H19" s="68">
        <f t="shared" si="14"/>
        <v>0.36249999999999999</v>
      </c>
      <c r="I19" s="68">
        <v>100</v>
      </c>
      <c r="J19" s="69">
        <v>7</v>
      </c>
      <c r="K19" s="69">
        <f t="shared" si="15"/>
        <v>270.28852334159205</v>
      </c>
      <c r="L19" s="69">
        <f t="shared" si="16"/>
        <v>1.5830956322414376</v>
      </c>
      <c r="M19" s="69">
        <f t="shared" si="17"/>
        <v>2.5036435774469168</v>
      </c>
      <c r="N19" s="64">
        <f t="shared" si="18"/>
        <v>48.989794855663561</v>
      </c>
      <c r="O19" s="64">
        <f t="shared" si="19"/>
        <v>17.758800635178044</v>
      </c>
      <c r="P19" s="64">
        <f t="shared" si="20"/>
        <v>66.748595490841609</v>
      </c>
      <c r="Q19" s="68">
        <f t="shared" si="21"/>
        <v>1735.7849434017387</v>
      </c>
      <c r="R19" s="65">
        <f t="shared" si="11"/>
        <v>0.59789122573023923</v>
      </c>
      <c r="S19" s="69" t="str">
        <f t="shared" si="22"/>
        <v>A</v>
      </c>
    </row>
    <row r="20" spans="1:19" x14ac:dyDescent="0.25">
      <c r="A20" s="66">
        <v>10002</v>
      </c>
      <c r="B20" s="67">
        <v>60</v>
      </c>
      <c r="C20" s="67">
        <v>25.45584412271571</v>
      </c>
      <c r="D20" s="68">
        <v>51</v>
      </c>
      <c r="E20" s="68">
        <f t="shared" si="12"/>
        <v>0.85</v>
      </c>
      <c r="F20" s="69">
        <f t="shared" si="13"/>
        <v>0.16438356164383561</v>
      </c>
      <c r="G20" s="70">
        <v>0.25</v>
      </c>
      <c r="H20" s="68">
        <f t="shared" si="14"/>
        <v>0.21249999999999999</v>
      </c>
      <c r="I20" s="68">
        <v>100</v>
      </c>
      <c r="J20" s="69">
        <v>7</v>
      </c>
      <c r="K20" s="69">
        <f t="shared" si="15"/>
        <v>515.50358353427407</v>
      </c>
      <c r="L20" s="69">
        <f t="shared" si="16"/>
        <v>5.8166647695303775</v>
      </c>
      <c r="M20" s="69">
        <f t="shared" si="17"/>
        <v>6.967349701037227</v>
      </c>
      <c r="N20" s="64">
        <f t="shared" si="18"/>
        <v>54.772255750516621</v>
      </c>
      <c r="O20" s="64">
        <f t="shared" si="19"/>
        <v>11.639104346984778</v>
      </c>
      <c r="P20" s="64">
        <f t="shared" si="20"/>
        <v>66.411360097501401</v>
      </c>
      <c r="Q20" s="68">
        <f t="shared" si="21"/>
        <v>1802.19630349924</v>
      </c>
      <c r="R20" s="65">
        <f t="shared" si="11"/>
        <v>0.62076662261741999</v>
      </c>
      <c r="S20" s="69" t="str">
        <f t="shared" si="22"/>
        <v>A</v>
      </c>
    </row>
    <row r="21" spans="1:19" x14ac:dyDescent="0.25">
      <c r="A21" s="66">
        <v>22941</v>
      </c>
      <c r="B21" s="67">
        <v>8</v>
      </c>
      <c r="C21" s="67">
        <v>2.8284271247461903</v>
      </c>
      <c r="D21" s="68">
        <v>68</v>
      </c>
      <c r="E21" s="68">
        <f t="shared" si="12"/>
        <v>8.5</v>
      </c>
      <c r="F21" s="69">
        <f t="shared" si="13"/>
        <v>2.1917808219178082E-2</v>
      </c>
      <c r="G21" s="70">
        <v>0.25</v>
      </c>
      <c r="H21" s="68">
        <f t="shared" si="14"/>
        <v>2.125</v>
      </c>
      <c r="I21" s="68">
        <v>100</v>
      </c>
      <c r="J21" s="69">
        <v>7</v>
      </c>
      <c r="K21" s="69">
        <f t="shared" si="15"/>
        <v>18.823529411764707</v>
      </c>
      <c r="L21" s="69">
        <f t="shared" si="16"/>
        <v>0.64629608550337525</v>
      </c>
      <c r="M21" s="69">
        <f t="shared" si="17"/>
        <v>0.79972074303762186</v>
      </c>
      <c r="N21" s="64">
        <f t="shared" si="18"/>
        <v>20</v>
      </c>
      <c r="O21" s="64">
        <f t="shared" si="19"/>
        <v>42.5</v>
      </c>
      <c r="P21" s="64">
        <f t="shared" si="20"/>
        <v>62.5</v>
      </c>
      <c r="Q21" s="68">
        <f t="shared" si="21"/>
        <v>1864.69630349924</v>
      </c>
      <c r="R21" s="65">
        <f t="shared" si="11"/>
        <v>0.64229475128922819</v>
      </c>
      <c r="S21" s="69" t="str">
        <f t="shared" si="22"/>
        <v>A</v>
      </c>
    </row>
    <row r="22" spans="1:19" x14ac:dyDescent="0.25">
      <c r="A22" s="66">
        <v>21730</v>
      </c>
      <c r="B22" s="67">
        <v>18</v>
      </c>
      <c r="C22" s="67">
        <v>0</v>
      </c>
      <c r="D22" s="68">
        <v>76.5</v>
      </c>
      <c r="E22" s="68">
        <f t="shared" si="12"/>
        <v>4.25</v>
      </c>
      <c r="F22" s="69">
        <f t="shared" si="13"/>
        <v>4.9315068493150684E-2</v>
      </c>
      <c r="G22" s="70">
        <v>0.25</v>
      </c>
      <c r="H22" s="68">
        <f t="shared" si="14"/>
        <v>1.0625</v>
      </c>
      <c r="I22" s="68">
        <v>100</v>
      </c>
      <c r="J22" s="69">
        <v>7</v>
      </c>
      <c r="K22" s="69">
        <f t="shared" si="15"/>
        <v>56.470588235294116</v>
      </c>
      <c r="L22" s="69">
        <f t="shared" si="16"/>
        <v>0</v>
      </c>
      <c r="M22" s="69">
        <f t="shared" si="17"/>
        <v>0.34520547945205476</v>
      </c>
      <c r="N22" s="64">
        <f t="shared" si="18"/>
        <v>30</v>
      </c>
      <c r="O22" s="64">
        <f t="shared" si="19"/>
        <v>31.875000000000004</v>
      </c>
      <c r="P22" s="64">
        <f t="shared" si="20"/>
        <v>61.875</v>
      </c>
      <c r="Q22" s="68">
        <f t="shared" si="21"/>
        <v>1926.57130349924</v>
      </c>
      <c r="R22" s="65">
        <f t="shared" si="11"/>
        <v>0.66360759867431829</v>
      </c>
      <c r="S22" s="69" t="str">
        <f t="shared" si="22"/>
        <v>A</v>
      </c>
    </row>
    <row r="23" spans="1:19" x14ac:dyDescent="0.25">
      <c r="A23" s="66">
        <v>22726</v>
      </c>
      <c r="B23" s="67">
        <v>20</v>
      </c>
      <c r="C23" s="67">
        <v>4.6188021535170067</v>
      </c>
      <c r="D23" s="68">
        <v>75</v>
      </c>
      <c r="E23" s="68">
        <f t="shared" si="12"/>
        <v>3.75</v>
      </c>
      <c r="F23" s="69">
        <f t="shared" si="13"/>
        <v>5.4794520547945202E-2</v>
      </c>
      <c r="G23" s="70">
        <v>0.25</v>
      </c>
      <c r="H23" s="68">
        <f t="shared" si="14"/>
        <v>0.9375</v>
      </c>
      <c r="I23" s="68">
        <v>100</v>
      </c>
      <c r="J23" s="69">
        <v>7</v>
      </c>
      <c r="K23" s="69">
        <f t="shared" si="15"/>
        <v>67.46192341692543</v>
      </c>
      <c r="L23" s="69">
        <f t="shared" si="16"/>
        <v>1.0553970881609585</v>
      </c>
      <c r="M23" s="69">
        <f t="shared" si="17"/>
        <v>1.4389587319965749</v>
      </c>
      <c r="N23" s="64">
        <f t="shared" si="18"/>
        <v>31.622776601683796</v>
      </c>
      <c r="O23" s="64">
        <f t="shared" si="19"/>
        <v>29.646353064078557</v>
      </c>
      <c r="P23" s="64">
        <f t="shared" si="20"/>
        <v>61.26912966576235</v>
      </c>
      <c r="Q23" s="68">
        <f t="shared" si="21"/>
        <v>1987.8404331650024</v>
      </c>
      <c r="R23" s="65">
        <f t="shared" si="11"/>
        <v>0.68471175398718609</v>
      </c>
      <c r="S23" s="69" t="str">
        <f t="shared" si="22"/>
        <v>A</v>
      </c>
    </row>
    <row r="24" spans="1:19" x14ac:dyDescent="0.25">
      <c r="A24" s="66" t="s">
        <v>137</v>
      </c>
      <c r="B24" s="67">
        <v>24</v>
      </c>
      <c r="C24" s="67">
        <v>0</v>
      </c>
      <c r="D24" s="68">
        <v>66</v>
      </c>
      <c r="E24" s="68">
        <f t="shared" si="12"/>
        <v>2.75</v>
      </c>
      <c r="F24" s="69">
        <f t="shared" si="13"/>
        <v>6.575342465753424E-2</v>
      </c>
      <c r="G24" s="70">
        <v>0.25</v>
      </c>
      <c r="H24" s="68">
        <f t="shared" si="14"/>
        <v>0.6875</v>
      </c>
      <c r="I24" s="68">
        <v>100</v>
      </c>
      <c r="J24" s="69">
        <v>7</v>
      </c>
      <c r="K24" s="69">
        <f t="shared" si="15"/>
        <v>100.77386516764378</v>
      </c>
      <c r="L24" s="69">
        <f t="shared" si="16"/>
        <v>0</v>
      </c>
      <c r="M24" s="69">
        <f t="shared" si="17"/>
        <v>0.46027397260273967</v>
      </c>
      <c r="N24" s="64">
        <f t="shared" si="18"/>
        <v>34.641016151377549</v>
      </c>
      <c r="O24" s="64">
        <f t="shared" si="19"/>
        <v>23.815698604072061</v>
      </c>
      <c r="P24" s="64">
        <f t="shared" si="20"/>
        <v>58.45671475544961</v>
      </c>
      <c r="Q24" s="68">
        <f t="shared" si="21"/>
        <v>2046.2971479204521</v>
      </c>
      <c r="R24" s="65">
        <f t="shared" si="11"/>
        <v>0.70484717281897014</v>
      </c>
      <c r="S24" s="69" t="str">
        <f t="shared" si="22"/>
        <v>A</v>
      </c>
    </row>
    <row r="25" spans="1:19" x14ac:dyDescent="0.25">
      <c r="A25" s="66">
        <v>21791</v>
      </c>
      <c r="B25" s="67">
        <v>36</v>
      </c>
      <c r="C25" s="67">
        <v>8.4852813742385695</v>
      </c>
      <c r="D25" s="68">
        <v>45</v>
      </c>
      <c r="E25" s="68">
        <f t="shared" si="12"/>
        <v>1.25</v>
      </c>
      <c r="F25" s="69">
        <f t="shared" si="13"/>
        <v>9.8630136986301367E-2</v>
      </c>
      <c r="G25" s="70">
        <v>0.25</v>
      </c>
      <c r="H25" s="68">
        <f t="shared" si="14"/>
        <v>0.3125</v>
      </c>
      <c r="I25" s="68">
        <v>100</v>
      </c>
      <c r="J25" s="69">
        <v>7</v>
      </c>
      <c r="K25" s="69">
        <f t="shared" si="15"/>
        <v>271.52900397563428</v>
      </c>
      <c r="L25" s="69">
        <f t="shared" si="16"/>
        <v>1.9388882565101258</v>
      </c>
      <c r="M25" s="69">
        <f t="shared" si="17"/>
        <v>2.6292992154142354</v>
      </c>
      <c r="N25" s="64">
        <f t="shared" si="18"/>
        <v>42.426406871192853</v>
      </c>
      <c r="O25" s="64">
        <f t="shared" si="19"/>
        <v>13.258252147247765</v>
      </c>
      <c r="P25" s="64">
        <f t="shared" si="20"/>
        <v>55.68465901844062</v>
      </c>
      <c r="Q25" s="68">
        <f t="shared" si="21"/>
        <v>2101.9818069388925</v>
      </c>
      <c r="R25" s="65">
        <f t="shared" si="11"/>
        <v>0.72402775688928622</v>
      </c>
      <c r="S25" s="69" t="str">
        <f t="shared" si="22"/>
        <v>A</v>
      </c>
    </row>
    <row r="26" spans="1:19" x14ac:dyDescent="0.25">
      <c r="A26" s="66" t="s">
        <v>140</v>
      </c>
      <c r="B26" s="67">
        <v>18</v>
      </c>
      <c r="C26" s="67">
        <v>0</v>
      </c>
      <c r="D26" s="68">
        <v>61.019999999999996</v>
      </c>
      <c r="E26" s="68">
        <f t="shared" si="12"/>
        <v>3.3899999999999997</v>
      </c>
      <c r="F26" s="69">
        <f t="shared" si="13"/>
        <v>4.9315068493150684E-2</v>
      </c>
      <c r="G26" s="70">
        <v>0.25</v>
      </c>
      <c r="H26" s="68">
        <f t="shared" si="14"/>
        <v>0.84749999999999992</v>
      </c>
      <c r="I26" s="68">
        <v>100</v>
      </c>
      <c r="J26" s="69">
        <v>7</v>
      </c>
      <c r="K26" s="69">
        <f t="shared" si="15"/>
        <v>70.796460176991161</v>
      </c>
      <c r="L26" s="69">
        <f t="shared" si="16"/>
        <v>0</v>
      </c>
      <c r="M26" s="69">
        <f t="shared" si="17"/>
        <v>0.34520547945205476</v>
      </c>
      <c r="N26" s="64">
        <f t="shared" si="18"/>
        <v>30</v>
      </c>
      <c r="O26" s="64">
        <f t="shared" si="19"/>
        <v>25.424999999999997</v>
      </c>
      <c r="P26" s="64">
        <f t="shared" si="20"/>
        <v>55.424999999999997</v>
      </c>
      <c r="Q26" s="68">
        <f t="shared" si="21"/>
        <v>2157.4068069388927</v>
      </c>
      <c r="R26" s="65">
        <f t="shared" si="11"/>
        <v>0.74311890139544579</v>
      </c>
      <c r="S26" s="69" t="str">
        <f t="shared" si="22"/>
        <v>A</v>
      </c>
    </row>
    <row r="27" spans="1:19" x14ac:dyDescent="0.25">
      <c r="A27" s="66">
        <v>71053</v>
      </c>
      <c r="B27" s="67">
        <v>18</v>
      </c>
      <c r="C27" s="67">
        <v>0</v>
      </c>
      <c r="D27" s="68">
        <v>61.019999999999996</v>
      </c>
      <c r="E27" s="68">
        <f t="shared" si="12"/>
        <v>3.3899999999999997</v>
      </c>
      <c r="F27" s="69">
        <f t="shared" si="13"/>
        <v>4.9315068493150684E-2</v>
      </c>
      <c r="G27" s="70">
        <v>0.25</v>
      </c>
      <c r="H27" s="68">
        <f t="shared" si="14"/>
        <v>0.84749999999999992</v>
      </c>
      <c r="I27" s="68">
        <v>100</v>
      </c>
      <c r="J27" s="69">
        <v>7</v>
      </c>
      <c r="K27" s="69">
        <f t="shared" si="15"/>
        <v>70.796460176991161</v>
      </c>
      <c r="L27" s="69">
        <f t="shared" si="16"/>
        <v>0</v>
      </c>
      <c r="M27" s="69">
        <f t="shared" si="17"/>
        <v>0.34520547945205476</v>
      </c>
      <c r="N27" s="64">
        <f t="shared" si="18"/>
        <v>30</v>
      </c>
      <c r="O27" s="64">
        <f t="shared" si="19"/>
        <v>25.424999999999997</v>
      </c>
      <c r="P27" s="64">
        <f t="shared" si="20"/>
        <v>55.424999999999997</v>
      </c>
      <c r="Q27" s="68">
        <f t="shared" si="21"/>
        <v>2212.8318069388929</v>
      </c>
      <c r="R27" s="65">
        <f t="shared" si="11"/>
        <v>0.76221004590160535</v>
      </c>
      <c r="S27" s="69" t="str">
        <f t="shared" si="22"/>
        <v>A</v>
      </c>
    </row>
    <row r="28" spans="1:19" x14ac:dyDescent="0.25">
      <c r="A28" s="66">
        <v>20679</v>
      </c>
      <c r="B28" s="67">
        <v>12</v>
      </c>
      <c r="C28" s="67">
        <v>0</v>
      </c>
      <c r="D28" s="68">
        <v>59.400000000000006</v>
      </c>
      <c r="E28" s="68">
        <f t="shared" si="12"/>
        <v>4.95</v>
      </c>
      <c r="F28" s="69">
        <f t="shared" si="13"/>
        <v>3.287671232876712E-2</v>
      </c>
      <c r="G28" s="70">
        <v>0.25</v>
      </c>
      <c r="H28" s="68">
        <f t="shared" si="14"/>
        <v>1.2375</v>
      </c>
      <c r="I28" s="68">
        <v>100</v>
      </c>
      <c r="J28" s="69">
        <v>7</v>
      </c>
      <c r="K28" s="69">
        <f t="shared" si="15"/>
        <v>39.587713014677625</v>
      </c>
      <c r="L28" s="69">
        <f t="shared" si="16"/>
        <v>0</v>
      </c>
      <c r="M28" s="69">
        <f t="shared" si="17"/>
        <v>0.23013698630136983</v>
      </c>
      <c r="N28" s="64">
        <f t="shared" si="18"/>
        <v>24.494897427831781</v>
      </c>
      <c r="O28" s="64">
        <f t="shared" si="19"/>
        <v>30.312435566941829</v>
      </c>
      <c r="P28" s="64">
        <f t="shared" si="20"/>
        <v>54.80733299477361</v>
      </c>
      <c r="Q28" s="68">
        <f t="shared" si="21"/>
        <v>2267.6391399336667</v>
      </c>
      <c r="R28" s="65">
        <f t="shared" si="11"/>
        <v>0.78108843497152747</v>
      </c>
      <c r="S28" s="69" t="str">
        <f t="shared" si="22"/>
        <v>A</v>
      </c>
    </row>
    <row r="29" spans="1:19" x14ac:dyDescent="0.25">
      <c r="A29" s="66">
        <v>82486</v>
      </c>
      <c r="B29" s="67">
        <v>8</v>
      </c>
      <c r="C29" s="67">
        <v>0</v>
      </c>
      <c r="D29" s="68">
        <v>55.6</v>
      </c>
      <c r="E29" s="68">
        <f t="shared" si="12"/>
        <v>6.95</v>
      </c>
      <c r="F29" s="69">
        <f t="shared" si="13"/>
        <v>2.1917808219178082E-2</v>
      </c>
      <c r="G29" s="70">
        <v>0.25</v>
      </c>
      <c r="H29" s="68">
        <f t="shared" si="14"/>
        <v>1.7375</v>
      </c>
      <c r="I29" s="68">
        <v>100</v>
      </c>
      <c r="J29" s="69">
        <v>7</v>
      </c>
      <c r="K29" s="69">
        <f t="shared" si="15"/>
        <v>23.021582733812949</v>
      </c>
      <c r="L29" s="69">
        <f t="shared" si="16"/>
        <v>0</v>
      </c>
      <c r="M29" s="69">
        <f t="shared" si="17"/>
        <v>0.15342465753424658</v>
      </c>
      <c r="N29" s="64">
        <f t="shared" si="18"/>
        <v>20</v>
      </c>
      <c r="O29" s="64">
        <f t="shared" si="19"/>
        <v>34.75</v>
      </c>
      <c r="P29" s="64">
        <f t="shared" si="20"/>
        <v>54.75</v>
      </c>
      <c r="Q29" s="68">
        <f t="shared" si="21"/>
        <v>2322.3891399336667</v>
      </c>
      <c r="R29" s="65">
        <f t="shared" si="11"/>
        <v>0.79994707568803147</v>
      </c>
      <c r="S29" s="69" t="str">
        <f t="shared" si="22"/>
        <v>A</v>
      </c>
    </row>
    <row r="30" spans="1:19" x14ac:dyDescent="0.25">
      <c r="A30" s="66">
        <v>21533</v>
      </c>
      <c r="B30" s="67">
        <v>13</v>
      </c>
      <c r="C30" s="67">
        <v>7.7781745930520225</v>
      </c>
      <c r="D30" s="68">
        <v>55.95</v>
      </c>
      <c r="E30" s="68">
        <f t="shared" si="12"/>
        <v>4.3038461538461537</v>
      </c>
      <c r="F30" s="69">
        <f t="shared" si="13"/>
        <v>3.5616438356164383E-2</v>
      </c>
      <c r="G30" s="70">
        <v>0.25</v>
      </c>
      <c r="H30" s="68">
        <f t="shared" si="14"/>
        <v>1.0759615384615384</v>
      </c>
      <c r="I30" s="68">
        <v>100</v>
      </c>
      <c r="J30" s="69">
        <v>7</v>
      </c>
      <c r="K30" s="69">
        <f t="shared" si="15"/>
        <v>47.390351154034818</v>
      </c>
      <c r="L30" s="69">
        <f t="shared" si="16"/>
        <v>1.7773142351342821</v>
      </c>
      <c r="M30" s="69">
        <f t="shared" si="17"/>
        <v>2.0266293036274328</v>
      </c>
      <c r="N30" s="64">
        <f t="shared" si="18"/>
        <v>25.495097567963921</v>
      </c>
      <c r="O30" s="64">
        <f t="shared" si="19"/>
        <v>27.431744402453489</v>
      </c>
      <c r="P30" s="64">
        <f t="shared" si="20"/>
        <v>52.926841970417414</v>
      </c>
      <c r="Q30" s="68">
        <f t="shared" si="21"/>
        <v>2375.3159819040843</v>
      </c>
      <c r="R30" s="65">
        <f t="shared" si="11"/>
        <v>0.81817772951413714</v>
      </c>
      <c r="S30" s="69" t="str">
        <f t="shared" si="22"/>
        <v>A</v>
      </c>
    </row>
    <row r="31" spans="1:19" x14ac:dyDescent="0.25">
      <c r="A31" s="66">
        <v>22752</v>
      </c>
      <c r="B31" s="67">
        <v>6</v>
      </c>
      <c r="C31" s="67">
        <v>0</v>
      </c>
      <c r="D31" s="68">
        <v>45.900000000000006</v>
      </c>
      <c r="E31" s="68">
        <f t="shared" si="12"/>
        <v>7.6500000000000012</v>
      </c>
      <c r="F31" s="69">
        <f t="shared" si="13"/>
        <v>1.643835616438356E-2</v>
      </c>
      <c r="G31" s="70">
        <v>0.25</v>
      </c>
      <c r="H31" s="68">
        <f t="shared" si="14"/>
        <v>1.9125000000000003</v>
      </c>
      <c r="I31" s="68">
        <v>100</v>
      </c>
      <c r="J31" s="69">
        <v>7</v>
      </c>
      <c r="K31" s="69">
        <f t="shared" si="15"/>
        <v>18.112949621635316</v>
      </c>
      <c r="L31" s="69">
        <f t="shared" si="16"/>
        <v>0</v>
      </c>
      <c r="M31" s="69">
        <f t="shared" si="17"/>
        <v>0.11506849315068492</v>
      </c>
      <c r="N31" s="64">
        <f t="shared" si="18"/>
        <v>17.320508075688775</v>
      </c>
      <c r="O31" s="64">
        <f t="shared" si="19"/>
        <v>33.125471694754779</v>
      </c>
      <c r="P31" s="64">
        <f t="shared" si="20"/>
        <v>50.445979770443557</v>
      </c>
      <c r="Q31" s="68">
        <f t="shared" si="21"/>
        <v>2425.7619616745278</v>
      </c>
      <c r="R31" s="65">
        <f t="shared" si="11"/>
        <v>0.83555385020971384</v>
      </c>
      <c r="S31" s="69" t="str">
        <f t="shared" si="22"/>
        <v>A</v>
      </c>
    </row>
    <row r="32" spans="1:19" x14ac:dyDescent="0.25">
      <c r="A32" s="66">
        <v>22464</v>
      </c>
      <c r="B32" s="67">
        <v>24</v>
      </c>
      <c r="C32" s="67">
        <v>0</v>
      </c>
      <c r="D32" s="68">
        <v>39.599999999999994</v>
      </c>
      <c r="E32" s="68">
        <f t="shared" si="12"/>
        <v>1.6499999999999997</v>
      </c>
      <c r="F32" s="69">
        <f t="shared" si="13"/>
        <v>6.575342465753424E-2</v>
      </c>
      <c r="G32" s="70">
        <v>0.25</v>
      </c>
      <c r="H32" s="68">
        <f t="shared" si="14"/>
        <v>0.41249999999999992</v>
      </c>
      <c r="I32" s="68">
        <v>100</v>
      </c>
      <c r="J32" s="69">
        <v>7</v>
      </c>
      <c r="K32" s="69">
        <f t="shared" si="15"/>
        <v>167.956441946073</v>
      </c>
      <c r="L32" s="69">
        <f t="shared" si="16"/>
        <v>0</v>
      </c>
      <c r="M32" s="69">
        <f t="shared" si="17"/>
        <v>0.46027397260273967</v>
      </c>
      <c r="N32" s="64">
        <f t="shared" si="18"/>
        <v>34.641016151377549</v>
      </c>
      <c r="O32" s="64">
        <f t="shared" si="19"/>
        <v>14.289419162443235</v>
      </c>
      <c r="P32" s="64">
        <f t="shared" si="20"/>
        <v>48.93043531382078</v>
      </c>
      <c r="Q32" s="68">
        <f t="shared" si="21"/>
        <v>2474.6923969883487</v>
      </c>
      <c r="R32" s="65">
        <f t="shared" si="11"/>
        <v>0.85240794152817023</v>
      </c>
      <c r="S32" s="69" t="str">
        <f t="shared" si="22"/>
        <v>A</v>
      </c>
    </row>
    <row r="33" spans="1:19" x14ac:dyDescent="0.25">
      <c r="A33" s="66">
        <v>22411</v>
      </c>
      <c r="B33" s="67">
        <v>20</v>
      </c>
      <c r="C33" s="67">
        <v>0</v>
      </c>
      <c r="D33" s="68">
        <v>39</v>
      </c>
      <c r="E33" s="68">
        <f t="shared" si="12"/>
        <v>1.95</v>
      </c>
      <c r="F33" s="69">
        <f t="shared" si="13"/>
        <v>5.4794520547945202E-2</v>
      </c>
      <c r="G33" s="70">
        <v>0.25</v>
      </c>
      <c r="H33" s="68">
        <f t="shared" si="14"/>
        <v>0.48749999999999999</v>
      </c>
      <c r="I33" s="68">
        <v>100</v>
      </c>
      <c r="J33" s="69">
        <v>7</v>
      </c>
      <c r="K33" s="69">
        <f t="shared" si="15"/>
        <v>129.73446810947198</v>
      </c>
      <c r="L33" s="69">
        <f t="shared" si="16"/>
        <v>0</v>
      </c>
      <c r="M33" s="69">
        <f t="shared" si="17"/>
        <v>0.38356164383561642</v>
      </c>
      <c r="N33" s="64">
        <f t="shared" si="18"/>
        <v>31.622776601683793</v>
      </c>
      <c r="O33" s="64">
        <f t="shared" si="19"/>
        <v>15.416103593320848</v>
      </c>
      <c r="P33" s="64">
        <f t="shared" si="20"/>
        <v>47.038880195004637</v>
      </c>
      <c r="Q33" s="68">
        <f t="shared" si="21"/>
        <v>2521.7312771833535</v>
      </c>
      <c r="R33" s="65">
        <f t="shared" si="11"/>
        <v>0.86861048657482354</v>
      </c>
      <c r="S33" s="69" t="str">
        <f t="shared" si="22"/>
        <v>A</v>
      </c>
    </row>
    <row r="34" spans="1:19" x14ac:dyDescent="0.25">
      <c r="A34" s="66" t="s">
        <v>131</v>
      </c>
      <c r="B34" s="67">
        <v>7</v>
      </c>
      <c r="C34" s="67">
        <v>3.5355339059327378</v>
      </c>
      <c r="D34" s="68">
        <v>37.35</v>
      </c>
      <c r="E34" s="68">
        <f t="shared" si="12"/>
        <v>5.3357142857142863</v>
      </c>
      <c r="F34" s="69">
        <f t="shared" si="13"/>
        <v>1.9178082191780823E-2</v>
      </c>
      <c r="G34" s="70">
        <v>0.25</v>
      </c>
      <c r="H34" s="68">
        <f t="shared" si="14"/>
        <v>1.3339285714285716</v>
      </c>
      <c r="I34" s="68">
        <v>100</v>
      </c>
      <c r="J34" s="69">
        <v>7</v>
      </c>
      <c r="K34" s="69">
        <f t="shared" si="15"/>
        <v>28.04990812039367</v>
      </c>
      <c r="L34" s="69">
        <f t="shared" si="16"/>
        <v>0.80787010687921923</v>
      </c>
      <c r="M34" s="69">
        <f t="shared" si="17"/>
        <v>0.94211668222168499</v>
      </c>
      <c r="N34" s="64">
        <f t="shared" si="18"/>
        <v>18.708286933869708</v>
      </c>
      <c r="O34" s="64">
        <f t="shared" si="19"/>
        <v>24.955518463572627</v>
      </c>
      <c r="P34" s="64">
        <f t="shared" si="20"/>
        <v>43.663805397442331</v>
      </c>
      <c r="Q34" s="68">
        <f t="shared" si="21"/>
        <v>2565.395082580796</v>
      </c>
      <c r="R34" s="65">
        <f t="shared" si="11"/>
        <v>0.88365048690917458</v>
      </c>
      <c r="S34" s="69" t="str">
        <f t="shared" si="22"/>
        <v>A</v>
      </c>
    </row>
    <row r="35" spans="1:19" x14ac:dyDescent="0.25">
      <c r="A35" s="66">
        <v>21755</v>
      </c>
      <c r="B35" s="67">
        <v>6</v>
      </c>
      <c r="C35" s="67">
        <v>0</v>
      </c>
      <c r="D35" s="68">
        <v>35.700000000000003</v>
      </c>
      <c r="E35" s="68">
        <f t="shared" si="12"/>
        <v>5.95</v>
      </c>
      <c r="F35" s="69">
        <f t="shared" si="13"/>
        <v>1.643835616438356E-2</v>
      </c>
      <c r="G35" s="70">
        <v>0.25</v>
      </c>
      <c r="H35" s="68">
        <f t="shared" si="14"/>
        <v>1.4875</v>
      </c>
      <c r="I35" s="68">
        <v>100</v>
      </c>
      <c r="J35" s="69">
        <v>7</v>
      </c>
      <c r="K35" s="69">
        <f t="shared" si="15"/>
        <v>23.288078084959697</v>
      </c>
      <c r="L35" s="69">
        <f t="shared" si="16"/>
        <v>0</v>
      </c>
      <c r="M35" s="69">
        <f t="shared" si="17"/>
        <v>0.11506849315068492</v>
      </c>
      <c r="N35" s="64">
        <f t="shared" si="18"/>
        <v>17.320508075688775</v>
      </c>
      <c r="O35" s="64">
        <f t="shared" si="19"/>
        <v>25.764255762587045</v>
      </c>
      <c r="P35" s="64">
        <f t="shared" si="20"/>
        <v>43.084763838275819</v>
      </c>
      <c r="Q35" s="68">
        <f t="shared" si="21"/>
        <v>2608.4798464190717</v>
      </c>
      <c r="R35" s="65">
        <f t="shared" si="11"/>
        <v>0.89849103634445238</v>
      </c>
      <c r="S35" s="69" t="str">
        <f t="shared" si="22"/>
        <v>A</v>
      </c>
    </row>
    <row r="36" spans="1:19" x14ac:dyDescent="0.25">
      <c r="A36" s="66">
        <v>21754</v>
      </c>
      <c r="B36" s="67">
        <v>6</v>
      </c>
      <c r="C36" s="67">
        <v>0</v>
      </c>
      <c r="D36" s="68">
        <v>35.700000000000003</v>
      </c>
      <c r="E36" s="68">
        <f t="shared" si="12"/>
        <v>5.95</v>
      </c>
      <c r="F36" s="69">
        <f t="shared" si="13"/>
        <v>1.643835616438356E-2</v>
      </c>
      <c r="G36" s="70">
        <v>0.25</v>
      </c>
      <c r="H36" s="68">
        <f t="shared" si="14"/>
        <v>1.4875</v>
      </c>
      <c r="I36" s="68">
        <v>100</v>
      </c>
      <c r="J36" s="69">
        <v>7</v>
      </c>
      <c r="K36" s="69">
        <f t="shared" si="15"/>
        <v>23.288078084959697</v>
      </c>
      <c r="L36" s="69">
        <f t="shared" si="16"/>
        <v>0</v>
      </c>
      <c r="M36" s="69">
        <f t="shared" si="17"/>
        <v>0.11506849315068492</v>
      </c>
      <c r="N36" s="64">
        <f t="shared" si="18"/>
        <v>17.320508075688775</v>
      </c>
      <c r="O36" s="64">
        <f t="shared" si="19"/>
        <v>25.764255762587045</v>
      </c>
      <c r="P36" s="64">
        <f t="shared" si="20"/>
        <v>43.084763838275819</v>
      </c>
      <c r="Q36" s="68">
        <f t="shared" si="21"/>
        <v>2651.5646102573473</v>
      </c>
      <c r="R36" s="65">
        <f t="shared" si="11"/>
        <v>0.91333158577973028</v>
      </c>
      <c r="S36" s="69" t="str">
        <f t="shared" si="22"/>
        <v>A</v>
      </c>
    </row>
    <row r="37" spans="1:19" x14ac:dyDescent="0.25">
      <c r="A37" s="66" t="s">
        <v>147</v>
      </c>
      <c r="B37" s="67">
        <v>12</v>
      </c>
      <c r="C37" s="67">
        <v>0</v>
      </c>
      <c r="D37" s="68">
        <v>30.599999999999998</v>
      </c>
      <c r="E37" s="68">
        <f t="shared" si="12"/>
        <v>2.5499999999999998</v>
      </c>
      <c r="F37" s="69">
        <f t="shared" si="13"/>
        <v>3.287671232876712E-2</v>
      </c>
      <c r="G37" s="70">
        <v>0.25</v>
      </c>
      <c r="H37" s="68">
        <f t="shared" si="14"/>
        <v>0.63749999999999996</v>
      </c>
      <c r="I37" s="68">
        <v>100</v>
      </c>
      <c r="J37" s="69">
        <v>7</v>
      </c>
      <c r="K37" s="69">
        <f t="shared" si="15"/>
        <v>76.846737028491873</v>
      </c>
      <c r="L37" s="69">
        <f t="shared" si="16"/>
        <v>0</v>
      </c>
      <c r="M37" s="69">
        <f t="shared" si="17"/>
        <v>0.23013698630136983</v>
      </c>
      <c r="N37" s="64">
        <f t="shared" si="18"/>
        <v>24.494897427831784</v>
      </c>
      <c r="O37" s="64">
        <f t="shared" si="19"/>
        <v>15.615497110242757</v>
      </c>
      <c r="P37" s="64">
        <f t="shared" si="20"/>
        <v>40.110394538074544</v>
      </c>
      <c r="Q37" s="68">
        <f t="shared" si="21"/>
        <v>2691.675004795422</v>
      </c>
      <c r="R37" s="65">
        <f t="shared" si="11"/>
        <v>0.9271476135348129</v>
      </c>
      <c r="S37" s="69" t="str">
        <f t="shared" si="22"/>
        <v>A</v>
      </c>
    </row>
    <row r="38" spans="1:19" x14ac:dyDescent="0.25">
      <c r="A38" s="66">
        <v>82482</v>
      </c>
      <c r="B38" s="67">
        <v>12</v>
      </c>
      <c r="C38" s="67">
        <v>0</v>
      </c>
      <c r="D38" s="68">
        <v>25.200000000000003</v>
      </c>
      <c r="E38" s="68">
        <f t="shared" si="12"/>
        <v>2.1</v>
      </c>
      <c r="F38" s="69">
        <f t="shared" si="13"/>
        <v>3.287671232876712E-2</v>
      </c>
      <c r="G38" s="70">
        <v>0.25</v>
      </c>
      <c r="H38" s="68">
        <f t="shared" si="14"/>
        <v>0.52500000000000002</v>
      </c>
      <c r="I38" s="68">
        <v>100</v>
      </c>
      <c r="J38" s="69">
        <v>7</v>
      </c>
      <c r="K38" s="69">
        <f t="shared" si="15"/>
        <v>93.313894963168678</v>
      </c>
      <c r="L38" s="69">
        <f t="shared" si="16"/>
        <v>0</v>
      </c>
      <c r="M38" s="69">
        <f t="shared" si="17"/>
        <v>0.23013698630136983</v>
      </c>
      <c r="N38" s="64">
        <f t="shared" si="18"/>
        <v>24.494897427831781</v>
      </c>
      <c r="O38" s="64">
        <f t="shared" si="19"/>
        <v>12.859821149611687</v>
      </c>
      <c r="P38" s="64">
        <f t="shared" si="20"/>
        <v>37.354718577443464</v>
      </c>
      <c r="Q38" s="68">
        <f t="shared" si="21"/>
        <v>2729.0297233728652</v>
      </c>
      <c r="R38" s="65">
        <f t="shared" si="11"/>
        <v>0.94001444854336302</v>
      </c>
      <c r="S38" s="69" t="str">
        <f t="shared" si="22"/>
        <v>A</v>
      </c>
    </row>
    <row r="39" spans="1:19" x14ac:dyDescent="0.25">
      <c r="A39" s="66">
        <v>82483</v>
      </c>
      <c r="B39" s="67">
        <v>4</v>
      </c>
      <c r="C39" s="67">
        <v>0</v>
      </c>
      <c r="D39" s="68">
        <v>19.8</v>
      </c>
      <c r="E39" s="68">
        <f t="shared" si="12"/>
        <v>4.95</v>
      </c>
      <c r="F39" s="69">
        <f t="shared" si="13"/>
        <v>1.0958904109589041E-2</v>
      </c>
      <c r="G39" s="70">
        <v>0.25</v>
      </c>
      <c r="H39" s="68">
        <f t="shared" si="14"/>
        <v>1.2375</v>
      </c>
      <c r="I39" s="68">
        <v>100</v>
      </c>
      <c r="J39" s="69">
        <v>7</v>
      </c>
      <c r="K39" s="69">
        <f t="shared" si="15"/>
        <v>22.85597676562578</v>
      </c>
      <c r="L39" s="69">
        <f t="shared" si="16"/>
        <v>0</v>
      </c>
      <c r="M39" s="69">
        <f t="shared" si="17"/>
        <v>7.6712328767123292E-2</v>
      </c>
      <c r="N39" s="64">
        <f t="shared" si="18"/>
        <v>14.142135623730951</v>
      </c>
      <c r="O39" s="64">
        <f t="shared" si="19"/>
        <v>17.50089283436705</v>
      </c>
      <c r="P39" s="64">
        <f t="shared" si="20"/>
        <v>31.643028458098001</v>
      </c>
      <c r="Q39" s="68">
        <f t="shared" si="21"/>
        <v>2760.6727518309631</v>
      </c>
      <c r="R39" s="65">
        <f t="shared" si="11"/>
        <v>0.95091389155474892</v>
      </c>
      <c r="S39" s="69" t="str">
        <f t="shared" si="22"/>
        <v>A</v>
      </c>
    </row>
    <row r="40" spans="1:19" x14ac:dyDescent="0.25">
      <c r="A40" s="66">
        <v>37370</v>
      </c>
      <c r="B40" s="67">
        <v>12</v>
      </c>
      <c r="C40" s="67">
        <v>0</v>
      </c>
      <c r="D40" s="68">
        <v>12.72</v>
      </c>
      <c r="E40" s="68">
        <f t="shared" si="12"/>
        <v>1.06</v>
      </c>
      <c r="F40" s="69">
        <f t="shared" si="13"/>
        <v>3.287671232876712E-2</v>
      </c>
      <c r="G40" s="70">
        <v>0.25</v>
      </c>
      <c r="H40" s="68">
        <f t="shared" si="14"/>
        <v>0.26500000000000001</v>
      </c>
      <c r="I40" s="68">
        <v>100</v>
      </c>
      <c r="J40" s="69">
        <v>7</v>
      </c>
      <c r="K40" s="69">
        <f t="shared" si="15"/>
        <v>184.86715039873042</v>
      </c>
      <c r="L40" s="69">
        <f t="shared" si="16"/>
        <v>0</v>
      </c>
      <c r="M40" s="69">
        <f t="shared" si="17"/>
        <v>0.23013698630136983</v>
      </c>
      <c r="N40" s="64">
        <f t="shared" si="18"/>
        <v>24.494897427831781</v>
      </c>
      <c r="O40" s="64">
        <f t="shared" si="19"/>
        <v>6.4911478183754214</v>
      </c>
      <c r="P40" s="64">
        <f t="shared" si="20"/>
        <v>30.986045246207201</v>
      </c>
      <c r="Q40" s="68">
        <f t="shared" si="21"/>
        <v>2791.6587970771702</v>
      </c>
      <c r="R40" s="65">
        <f t="shared" si="11"/>
        <v>0.96158703666020207</v>
      </c>
      <c r="S40" s="69" t="str">
        <f t="shared" si="22"/>
        <v>A</v>
      </c>
    </row>
    <row r="41" spans="1:19" x14ac:dyDescent="0.25">
      <c r="A41" s="66">
        <v>21871</v>
      </c>
      <c r="B41" s="67">
        <v>12</v>
      </c>
      <c r="C41" s="67">
        <v>0</v>
      </c>
      <c r="D41" s="68">
        <v>12.72</v>
      </c>
      <c r="E41" s="68">
        <f t="shared" si="12"/>
        <v>1.06</v>
      </c>
      <c r="F41" s="69">
        <f t="shared" si="13"/>
        <v>3.287671232876712E-2</v>
      </c>
      <c r="G41" s="70">
        <v>0.25</v>
      </c>
      <c r="H41" s="68">
        <f t="shared" si="14"/>
        <v>0.26500000000000001</v>
      </c>
      <c r="I41" s="68">
        <v>100</v>
      </c>
      <c r="J41" s="69">
        <v>7</v>
      </c>
      <c r="K41" s="69">
        <f t="shared" si="15"/>
        <v>184.86715039873042</v>
      </c>
      <c r="L41" s="69">
        <f t="shared" si="16"/>
        <v>0</v>
      </c>
      <c r="M41" s="69">
        <f t="shared" si="17"/>
        <v>0.23013698630136983</v>
      </c>
      <c r="N41" s="64">
        <f t="shared" si="18"/>
        <v>24.494897427831781</v>
      </c>
      <c r="O41" s="64">
        <f t="shared" si="19"/>
        <v>6.4911478183754214</v>
      </c>
      <c r="P41" s="64">
        <f t="shared" si="20"/>
        <v>30.986045246207201</v>
      </c>
      <c r="Q41" s="68">
        <f t="shared" si="21"/>
        <v>2822.6448423233774</v>
      </c>
      <c r="R41" s="65">
        <f t="shared" si="11"/>
        <v>0.9722601817656551</v>
      </c>
      <c r="S41" s="69" t="str">
        <f t="shared" si="22"/>
        <v>A</v>
      </c>
    </row>
    <row r="42" spans="1:19" x14ac:dyDescent="0.25">
      <c r="A42" s="66">
        <v>21071</v>
      </c>
      <c r="B42" s="67">
        <v>12</v>
      </c>
      <c r="C42" s="67">
        <v>0</v>
      </c>
      <c r="D42" s="68">
        <v>12.72</v>
      </c>
      <c r="E42" s="68">
        <f t="shared" si="12"/>
        <v>1.06</v>
      </c>
      <c r="F42" s="69">
        <f t="shared" si="13"/>
        <v>3.287671232876712E-2</v>
      </c>
      <c r="G42" s="70">
        <v>0.25</v>
      </c>
      <c r="H42" s="68">
        <f t="shared" si="14"/>
        <v>0.26500000000000001</v>
      </c>
      <c r="I42" s="68">
        <v>100</v>
      </c>
      <c r="J42" s="69">
        <v>7</v>
      </c>
      <c r="K42" s="69">
        <f t="shared" si="15"/>
        <v>184.86715039873042</v>
      </c>
      <c r="L42" s="69">
        <f t="shared" si="16"/>
        <v>0</v>
      </c>
      <c r="M42" s="69">
        <f t="shared" si="17"/>
        <v>0.23013698630136983</v>
      </c>
      <c r="N42" s="64">
        <f t="shared" si="18"/>
        <v>24.494897427831781</v>
      </c>
      <c r="O42" s="64">
        <f t="shared" si="19"/>
        <v>6.4911478183754214</v>
      </c>
      <c r="P42" s="64">
        <f t="shared" si="20"/>
        <v>30.986045246207201</v>
      </c>
      <c r="Q42" s="68">
        <f t="shared" si="21"/>
        <v>2853.6308875695845</v>
      </c>
      <c r="R42" s="65">
        <f t="shared" si="11"/>
        <v>0.98293332687110824</v>
      </c>
      <c r="S42" s="69" t="str">
        <f t="shared" si="22"/>
        <v>A</v>
      </c>
    </row>
    <row r="43" spans="1:19" x14ac:dyDescent="0.25">
      <c r="A43" s="66">
        <v>21068</v>
      </c>
      <c r="B43" s="67">
        <v>12</v>
      </c>
      <c r="C43" s="67">
        <v>0</v>
      </c>
      <c r="D43" s="68">
        <v>12.72</v>
      </c>
      <c r="E43" s="68">
        <f t="shared" si="12"/>
        <v>1.06</v>
      </c>
      <c r="F43" s="69">
        <f t="shared" si="13"/>
        <v>3.287671232876712E-2</v>
      </c>
      <c r="G43" s="70">
        <v>0.25</v>
      </c>
      <c r="H43" s="68">
        <f t="shared" si="14"/>
        <v>0.26500000000000001</v>
      </c>
      <c r="I43" s="68">
        <v>100</v>
      </c>
      <c r="J43" s="69">
        <v>7</v>
      </c>
      <c r="K43" s="69">
        <f t="shared" si="15"/>
        <v>184.86715039873042</v>
      </c>
      <c r="L43" s="69">
        <f t="shared" si="16"/>
        <v>0</v>
      </c>
      <c r="M43" s="69">
        <f t="shared" si="17"/>
        <v>0.23013698630136983</v>
      </c>
      <c r="N43" s="64">
        <f t="shared" si="18"/>
        <v>24.494897427831781</v>
      </c>
      <c r="O43" s="64">
        <f t="shared" si="19"/>
        <v>6.4911478183754214</v>
      </c>
      <c r="P43" s="64">
        <f t="shared" si="20"/>
        <v>30.986045246207201</v>
      </c>
      <c r="Q43" s="68">
        <f t="shared" si="21"/>
        <v>2884.6169328157916</v>
      </c>
      <c r="R43" s="65">
        <f t="shared" si="11"/>
        <v>0.99360647197656138</v>
      </c>
      <c r="S43" s="69" t="str">
        <f t="shared" si="22"/>
        <v>A</v>
      </c>
    </row>
    <row r="44" spans="1:19" x14ac:dyDescent="0.25">
      <c r="A44" s="71">
        <v>71270</v>
      </c>
      <c r="B44" s="72">
        <v>4</v>
      </c>
      <c r="C44" s="72">
        <v>1.4142135623730951</v>
      </c>
      <c r="D44" s="73">
        <v>5</v>
      </c>
      <c r="E44" s="73">
        <f t="shared" si="12"/>
        <v>1.25</v>
      </c>
      <c r="F44" s="74">
        <f t="shared" si="13"/>
        <v>1.0958904109589041E-2</v>
      </c>
      <c r="G44" s="75">
        <v>0.25</v>
      </c>
      <c r="H44" s="73">
        <f t="shared" si="14"/>
        <v>0.3125</v>
      </c>
      <c r="I44" s="73">
        <v>100</v>
      </c>
      <c r="J44" s="74">
        <v>7</v>
      </c>
      <c r="K44" s="74">
        <f t="shared" si="15"/>
        <v>90.509667991878089</v>
      </c>
      <c r="L44" s="74">
        <f t="shared" si="16"/>
        <v>0.32314804275168763</v>
      </c>
      <c r="M44" s="74">
        <f t="shared" si="17"/>
        <v>0.39986037151881093</v>
      </c>
      <c r="N44" s="76">
        <f t="shared" si="18"/>
        <v>14.142135623730951</v>
      </c>
      <c r="O44" s="76">
        <f t="shared" si="19"/>
        <v>4.4194173824159213</v>
      </c>
      <c r="P44" s="76">
        <f t="shared" si="20"/>
        <v>18.561553006146873</v>
      </c>
      <c r="Q44" s="73">
        <f t="shared" si="21"/>
        <v>2903.1784858219385</v>
      </c>
      <c r="R44" s="65">
        <f t="shared" si="11"/>
        <v>1</v>
      </c>
      <c r="S44" s="74" t="str">
        <f t="shared" si="22"/>
        <v>A</v>
      </c>
    </row>
  </sheetData>
  <sortState xmlns:xlrd2="http://schemas.microsoft.com/office/spreadsheetml/2017/richdata2" ref="A2:P44">
    <sortCondition ref="P2:P44"/>
  </sortState>
  <pageMargins left="0.70078740157480324" right="0.70078740157480324" top="0.75196850393700787" bottom="0.75196850393700787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5"/>
  <sheetViews>
    <sheetView workbookViewId="0">
      <selection activeCell="H36" sqref="H36"/>
    </sheetView>
  </sheetViews>
  <sheetFormatPr defaultRowHeight="15" x14ac:dyDescent="0.25"/>
  <cols>
    <col min="1" max="1" width="7.28515625" bestFit="1"/>
    <col min="2" max="2" width="20.85546875" bestFit="1"/>
    <col min="3" max="3" width="17.7109375" bestFit="1"/>
    <col min="4" max="4" width="20.140625" bestFit="1" customWidth="1"/>
    <col min="5" max="5" width="15" bestFit="1"/>
    <col min="6" max="6" width="17.85546875" bestFit="1" customWidth="1"/>
  </cols>
  <sheetData>
    <row r="1" spans="1:6" ht="21" x14ac:dyDescent="0.35">
      <c r="A1" s="77" t="s">
        <v>30</v>
      </c>
      <c r="B1" s="77" t="s">
        <v>165</v>
      </c>
      <c r="C1" s="77" t="s">
        <v>177</v>
      </c>
      <c r="D1" s="77" t="s">
        <v>178</v>
      </c>
      <c r="E1" s="77" t="s">
        <v>179</v>
      </c>
      <c r="F1" s="77" t="s">
        <v>180</v>
      </c>
    </row>
    <row r="2" spans="1:6" x14ac:dyDescent="0.25">
      <c r="A2" s="58">
        <v>21731</v>
      </c>
      <c r="B2" s="59">
        <v>458</v>
      </c>
      <c r="C2" s="60">
        <f>B2*Inventory_Model!E2</f>
        <v>582.9</v>
      </c>
      <c r="D2" s="60">
        <f>Inventory_Model!P2</f>
        <v>199.47635477987455</v>
      </c>
      <c r="E2" s="60">
        <f t="shared" ref="E2:E9" si="0">C2-D2</f>
        <v>383.42364522012542</v>
      </c>
      <c r="F2" s="78">
        <f>(C2-D2)/C2</f>
        <v>0.65778631878559868</v>
      </c>
    </row>
    <row r="3" spans="1:6" x14ac:dyDescent="0.25">
      <c r="A3" s="66" t="s">
        <v>34</v>
      </c>
      <c r="B3" s="67">
        <v>200</v>
      </c>
      <c r="C3" s="68">
        <f>B3*Inventory_Model!E3</f>
        <v>330</v>
      </c>
      <c r="D3" s="68">
        <f>Inventory_Model!P3</f>
        <v>141.25</v>
      </c>
      <c r="E3" s="68">
        <f t="shared" si="0"/>
        <v>188.75</v>
      </c>
      <c r="F3" s="78">
        <f t="shared" ref="F3:F44" si="1">(C3-D3)/C3</f>
        <v>0.57196969696969702</v>
      </c>
    </row>
    <row r="4" spans="1:6" x14ac:dyDescent="0.25">
      <c r="A4" s="66">
        <v>22633</v>
      </c>
      <c r="B4" s="67">
        <v>114</v>
      </c>
      <c r="C4" s="68">
        <f>B4*Inventory_Model!E4</f>
        <v>210.9</v>
      </c>
      <c r="D4" s="68">
        <f>Inventory_Model!P4</f>
        <v>110.41632861583471</v>
      </c>
      <c r="E4" s="68">
        <f t="shared" si="0"/>
        <v>100.48367138416529</v>
      </c>
      <c r="F4" s="78">
        <f t="shared" si="1"/>
        <v>0.47645173724118201</v>
      </c>
    </row>
    <row r="5" spans="1:6" x14ac:dyDescent="0.25">
      <c r="A5" s="66">
        <v>22632</v>
      </c>
      <c r="B5" s="67">
        <v>114</v>
      </c>
      <c r="C5" s="68">
        <f>B5*Inventory_Model!E5</f>
        <v>210.9</v>
      </c>
      <c r="D5" s="68">
        <f>Inventory_Model!P5</f>
        <v>110.41632861583471</v>
      </c>
      <c r="E5" s="68">
        <f t="shared" si="0"/>
        <v>100.48367138416529</v>
      </c>
      <c r="F5" s="78">
        <f t="shared" si="1"/>
        <v>0.47645173724118201</v>
      </c>
    </row>
    <row r="6" spans="1:6" x14ac:dyDescent="0.25">
      <c r="A6" s="66">
        <v>22086</v>
      </c>
      <c r="B6" s="67">
        <v>84</v>
      </c>
      <c r="C6" s="68">
        <f>B6*Inventory_Model!E6</f>
        <v>215.8</v>
      </c>
      <c r="D6" s="68">
        <f>Inventory_Model!P6</f>
        <v>106.43073563635289</v>
      </c>
      <c r="E6" s="68">
        <f t="shared" si="0"/>
        <v>109.36926436364712</v>
      </c>
      <c r="F6" s="78">
        <f t="shared" si="1"/>
        <v>0.50680845395573271</v>
      </c>
    </row>
    <row r="7" spans="1:6" x14ac:dyDescent="0.25">
      <c r="A7" s="66" t="s">
        <v>35</v>
      </c>
      <c r="B7" s="67">
        <v>110</v>
      </c>
      <c r="C7" s="68">
        <f>B7*Inventory_Model!E7</f>
        <v>184.5</v>
      </c>
      <c r="D7" s="68">
        <f>Inventory_Model!P7</f>
        <v>105.25945352707367</v>
      </c>
      <c r="E7" s="68">
        <f t="shared" si="0"/>
        <v>79.240546472926326</v>
      </c>
      <c r="F7" s="78">
        <f t="shared" si="1"/>
        <v>0.42948805676382834</v>
      </c>
    </row>
    <row r="8" spans="1:6" x14ac:dyDescent="0.25">
      <c r="A8" s="66" t="s">
        <v>36</v>
      </c>
      <c r="B8" s="67">
        <v>82</v>
      </c>
      <c r="C8" s="68">
        <f>B8*Inventory_Model!E8</f>
        <v>209.10000000000002</v>
      </c>
      <c r="D8" s="68">
        <f>Inventory_Model!P8</f>
        <v>104.85115938796289</v>
      </c>
      <c r="E8" s="68">
        <f t="shared" si="0"/>
        <v>104.24884061203713</v>
      </c>
      <c r="F8" s="78">
        <f t="shared" si="1"/>
        <v>0.49855973511256391</v>
      </c>
    </row>
    <row r="9" spans="1:6" x14ac:dyDescent="0.25">
      <c r="A9" s="66">
        <v>22969</v>
      </c>
      <c r="B9" s="67">
        <v>108</v>
      </c>
      <c r="C9" s="68">
        <f>B9*Inventory_Model!E9</f>
        <v>137.4</v>
      </c>
      <c r="D9" s="68">
        <f>Inventory_Model!P9</f>
        <v>96.856906912551509</v>
      </c>
      <c r="E9" s="68">
        <f t="shared" si="0"/>
        <v>40.543093087448497</v>
      </c>
      <c r="F9" s="78">
        <f t="shared" si="1"/>
        <v>0.29507345769613169</v>
      </c>
    </row>
    <row r="10" spans="1:6" x14ac:dyDescent="0.25">
      <c r="A10" s="66">
        <v>21485</v>
      </c>
      <c r="B10" s="67">
        <v>36</v>
      </c>
      <c r="C10" s="68">
        <f>B10*Inventory_Model!E10</f>
        <v>161.4</v>
      </c>
      <c r="D10" s="68">
        <f>Inventory_Model!P10</f>
        <v>89.97933790598816</v>
      </c>
      <c r="E10" s="68">
        <f t="shared" ref="E10:E44" si="2">C10-D10</f>
        <v>71.420662094011846</v>
      </c>
      <c r="F10" s="78">
        <f t="shared" si="1"/>
        <v>0.44250720008681438</v>
      </c>
    </row>
    <row r="11" spans="1:6" x14ac:dyDescent="0.25">
      <c r="A11" s="66">
        <v>21094</v>
      </c>
      <c r="B11" s="67">
        <v>108</v>
      </c>
      <c r="C11" s="68">
        <f>B11*Inventory_Model!E11</f>
        <v>71.64</v>
      </c>
      <c r="D11" s="68">
        <f>Inventory_Model!P11</f>
        <v>85.670903753841657</v>
      </c>
      <c r="E11" s="68">
        <f t="shared" si="2"/>
        <v>-14.030903753841656</v>
      </c>
      <c r="F11" s="78">
        <f t="shared" si="1"/>
        <v>-0.19585292788723696</v>
      </c>
    </row>
    <row r="12" spans="1:6" x14ac:dyDescent="0.25">
      <c r="A12" s="66">
        <v>22783</v>
      </c>
      <c r="B12" s="67">
        <v>5</v>
      </c>
      <c r="C12" s="68">
        <f>B12*Inventory_Model!E12</f>
        <v>87.75</v>
      </c>
      <c r="D12" s="68">
        <f>Inventory_Model!P12</f>
        <v>85.183854470785718</v>
      </c>
      <c r="E12" s="68">
        <f t="shared" si="2"/>
        <v>2.5661455292142819</v>
      </c>
      <c r="F12" s="78">
        <f t="shared" si="1"/>
        <v>2.9243823694749652E-2</v>
      </c>
    </row>
    <row r="13" spans="1:6" x14ac:dyDescent="0.25">
      <c r="A13" s="66" t="s">
        <v>117</v>
      </c>
      <c r="B13" s="67">
        <v>42</v>
      </c>
      <c r="C13" s="68">
        <f>B13*Inventory_Model!E13</f>
        <v>142.38</v>
      </c>
      <c r="D13" s="68">
        <f>Inventory_Model!P13</f>
        <v>84.663085964309147</v>
      </c>
      <c r="E13" s="68">
        <f t="shared" si="2"/>
        <v>57.716914035690849</v>
      </c>
      <c r="F13" s="78">
        <f t="shared" si="1"/>
        <v>0.40537234187168741</v>
      </c>
    </row>
    <row r="14" spans="1:6" x14ac:dyDescent="0.25">
      <c r="A14" s="66">
        <v>22727</v>
      </c>
      <c r="B14" s="67">
        <v>28</v>
      </c>
      <c r="C14" s="68">
        <f>B14*Inventory_Model!E14</f>
        <v>105</v>
      </c>
      <c r="D14" s="68">
        <f>Inventory_Model!P14</f>
        <v>72.49461186874511</v>
      </c>
      <c r="E14" s="68">
        <f t="shared" si="2"/>
        <v>32.50538813125489</v>
      </c>
      <c r="F14" s="78">
        <f t="shared" si="1"/>
        <v>0.30957512505957036</v>
      </c>
    </row>
    <row r="15" spans="1:6" x14ac:dyDescent="0.25">
      <c r="A15" s="66">
        <v>22469</v>
      </c>
      <c r="B15" s="67">
        <v>52</v>
      </c>
      <c r="C15" s="68">
        <f>B15*Inventory_Model!E15</f>
        <v>77.8</v>
      </c>
      <c r="D15" s="68">
        <f>Inventory_Model!P15</f>
        <v>70.062489278116246</v>
      </c>
      <c r="E15" s="68">
        <f t="shared" si="2"/>
        <v>7.7375107218837513</v>
      </c>
      <c r="F15" s="78">
        <f t="shared" si="1"/>
        <v>9.9453865319842572E-2</v>
      </c>
    </row>
    <row r="16" spans="1:6" x14ac:dyDescent="0.25">
      <c r="A16" s="66">
        <v>84879</v>
      </c>
      <c r="B16" s="67">
        <v>48</v>
      </c>
      <c r="C16" s="68">
        <f>B16*Inventory_Model!E16</f>
        <v>81.12</v>
      </c>
      <c r="D16" s="68">
        <f>Inventory_Model!P16</f>
        <v>69.687983182181426</v>
      </c>
      <c r="E16" s="68">
        <f t="shared" si="2"/>
        <v>11.432016817818578</v>
      </c>
      <c r="F16" s="78">
        <f t="shared" si="1"/>
        <v>0.1409272290165012</v>
      </c>
    </row>
    <row r="17" spans="1:6" x14ac:dyDescent="0.25">
      <c r="A17" s="66">
        <v>22960</v>
      </c>
      <c r="B17" s="67">
        <v>24</v>
      </c>
      <c r="C17" s="68">
        <f>B17*Inventory_Model!E17</f>
        <v>96</v>
      </c>
      <c r="D17" s="68">
        <f>Inventory_Model!P17</f>
        <v>69.282032302755084</v>
      </c>
      <c r="E17" s="68">
        <f t="shared" si="2"/>
        <v>26.717967697244916</v>
      </c>
      <c r="F17" s="78">
        <f t="shared" si="1"/>
        <v>0.27831216351296789</v>
      </c>
    </row>
    <row r="18" spans="1:6" x14ac:dyDescent="0.25">
      <c r="A18" s="66">
        <v>21523</v>
      </c>
      <c r="B18" s="67">
        <v>12</v>
      </c>
      <c r="C18" s="68">
        <f>B18*Inventory_Model!E18</f>
        <v>83.4</v>
      </c>
      <c r="D18" s="68">
        <f>Inventory_Model!P18</f>
        <v>67.054781708689504</v>
      </c>
      <c r="E18" s="68">
        <f t="shared" si="2"/>
        <v>16.345218291310502</v>
      </c>
      <c r="F18" s="78">
        <f t="shared" si="1"/>
        <v>0.19598583083106116</v>
      </c>
    </row>
    <row r="19" spans="1:6" x14ac:dyDescent="0.25">
      <c r="A19" s="66">
        <v>22961</v>
      </c>
      <c r="B19" s="67">
        <v>48</v>
      </c>
      <c r="C19" s="68">
        <f>B19*Inventory_Model!E19</f>
        <v>69.599999999999994</v>
      </c>
      <c r="D19" s="68">
        <f>Inventory_Model!P19</f>
        <v>66.748595490841609</v>
      </c>
      <c r="E19" s="68">
        <f t="shared" si="2"/>
        <v>2.8514045091583853</v>
      </c>
      <c r="F19" s="78">
        <f t="shared" si="1"/>
        <v>4.0968455591356111E-2</v>
      </c>
    </row>
    <row r="20" spans="1:6" x14ac:dyDescent="0.25">
      <c r="A20" s="66">
        <v>10002</v>
      </c>
      <c r="B20" s="67">
        <v>60</v>
      </c>
      <c r="C20" s="68">
        <f>B20*Inventory_Model!E20</f>
        <v>51</v>
      </c>
      <c r="D20" s="68">
        <f>Inventory_Model!P20</f>
        <v>66.411360097501401</v>
      </c>
      <c r="E20" s="68">
        <f t="shared" si="2"/>
        <v>-15.411360097501401</v>
      </c>
      <c r="F20" s="78">
        <f t="shared" si="1"/>
        <v>-0.30218353132355685</v>
      </c>
    </row>
    <row r="21" spans="1:6" x14ac:dyDescent="0.25">
      <c r="A21" s="66">
        <v>22941</v>
      </c>
      <c r="B21" s="67">
        <v>8</v>
      </c>
      <c r="C21" s="68">
        <f>B21*Inventory_Model!E21</f>
        <v>68</v>
      </c>
      <c r="D21" s="68">
        <f>Inventory_Model!P21</f>
        <v>62.5</v>
      </c>
      <c r="E21" s="68">
        <f t="shared" si="2"/>
        <v>5.5</v>
      </c>
      <c r="F21" s="78">
        <f t="shared" si="1"/>
        <v>8.0882352941176475E-2</v>
      </c>
    </row>
    <row r="22" spans="1:6" x14ac:dyDescent="0.25">
      <c r="A22" s="66">
        <v>21730</v>
      </c>
      <c r="B22" s="67">
        <v>18</v>
      </c>
      <c r="C22" s="68">
        <f>B22*Inventory_Model!E22</f>
        <v>76.5</v>
      </c>
      <c r="D22" s="68">
        <f>Inventory_Model!P22</f>
        <v>61.875</v>
      </c>
      <c r="E22" s="68">
        <f t="shared" si="2"/>
        <v>14.625</v>
      </c>
      <c r="F22" s="78">
        <f t="shared" si="1"/>
        <v>0.19117647058823528</v>
      </c>
    </row>
    <row r="23" spans="1:6" x14ac:dyDescent="0.25">
      <c r="A23" s="66">
        <v>22726</v>
      </c>
      <c r="B23" s="67">
        <v>20</v>
      </c>
      <c r="C23" s="68">
        <f>B23*Inventory_Model!E23</f>
        <v>75</v>
      </c>
      <c r="D23" s="68">
        <f>Inventory_Model!P23</f>
        <v>61.26912966576235</v>
      </c>
      <c r="E23" s="68">
        <f t="shared" si="2"/>
        <v>13.73087033423765</v>
      </c>
      <c r="F23" s="78">
        <f t="shared" si="1"/>
        <v>0.18307827112316868</v>
      </c>
    </row>
    <row r="24" spans="1:6" x14ac:dyDescent="0.25">
      <c r="A24" s="66" t="s">
        <v>137</v>
      </c>
      <c r="B24" s="67">
        <v>24</v>
      </c>
      <c r="C24" s="68">
        <f>B24*Inventory_Model!E24</f>
        <v>66</v>
      </c>
      <c r="D24" s="68">
        <f>Inventory_Model!P24</f>
        <v>58.45671475544961</v>
      </c>
      <c r="E24" s="68">
        <f t="shared" si="2"/>
        <v>7.5432852445503897</v>
      </c>
      <c r="F24" s="78">
        <f t="shared" si="1"/>
        <v>0.11429220067500591</v>
      </c>
    </row>
    <row r="25" spans="1:6" x14ac:dyDescent="0.25">
      <c r="A25" s="66">
        <v>21791</v>
      </c>
      <c r="B25" s="67">
        <v>36</v>
      </c>
      <c r="C25" s="68">
        <f>B25*Inventory_Model!E25</f>
        <v>45</v>
      </c>
      <c r="D25" s="68">
        <f>Inventory_Model!P25</f>
        <v>55.68465901844062</v>
      </c>
      <c r="E25" s="68">
        <f t="shared" si="2"/>
        <v>-10.68465901844062</v>
      </c>
      <c r="F25" s="78">
        <f t="shared" si="1"/>
        <v>-0.23743686707645822</v>
      </c>
    </row>
    <row r="26" spans="1:6" x14ac:dyDescent="0.25">
      <c r="A26" s="66" t="s">
        <v>140</v>
      </c>
      <c r="B26" s="67">
        <v>18</v>
      </c>
      <c r="C26" s="68">
        <f>B26*Inventory_Model!E26</f>
        <v>61.019999999999996</v>
      </c>
      <c r="D26" s="68">
        <f>Inventory_Model!P26</f>
        <v>55.424999999999997</v>
      </c>
      <c r="E26" s="68">
        <f t="shared" si="2"/>
        <v>5.5949999999999989</v>
      </c>
      <c r="F26" s="78">
        <f t="shared" si="1"/>
        <v>9.1691248770894782E-2</v>
      </c>
    </row>
    <row r="27" spans="1:6" x14ac:dyDescent="0.25">
      <c r="A27" s="66">
        <v>71053</v>
      </c>
      <c r="B27" s="67">
        <v>18</v>
      </c>
      <c r="C27" s="68">
        <f>B27*Inventory_Model!E27</f>
        <v>61.019999999999996</v>
      </c>
      <c r="D27" s="68">
        <f>Inventory_Model!P27</f>
        <v>55.424999999999997</v>
      </c>
      <c r="E27" s="68">
        <f t="shared" si="2"/>
        <v>5.5949999999999989</v>
      </c>
      <c r="F27" s="78">
        <f t="shared" si="1"/>
        <v>9.1691248770894782E-2</v>
      </c>
    </row>
    <row r="28" spans="1:6" x14ac:dyDescent="0.25">
      <c r="A28" s="66">
        <v>20679</v>
      </c>
      <c r="B28" s="67">
        <v>12</v>
      </c>
      <c r="C28" s="68">
        <f>B28*Inventory_Model!E28</f>
        <v>59.400000000000006</v>
      </c>
      <c r="D28" s="68">
        <f>Inventory_Model!P28</f>
        <v>54.80733299477361</v>
      </c>
      <c r="E28" s="68">
        <f t="shared" si="2"/>
        <v>4.5926670052263958</v>
      </c>
      <c r="F28" s="78">
        <f t="shared" si="1"/>
        <v>7.731762635061272E-2</v>
      </c>
    </row>
    <row r="29" spans="1:6" x14ac:dyDescent="0.25">
      <c r="A29" s="66">
        <v>82486</v>
      </c>
      <c r="B29" s="67">
        <v>8</v>
      </c>
      <c r="C29" s="68">
        <f>B29*Inventory_Model!E29</f>
        <v>55.6</v>
      </c>
      <c r="D29" s="68">
        <f>Inventory_Model!P29</f>
        <v>54.75</v>
      </c>
      <c r="E29" s="68">
        <f t="shared" si="2"/>
        <v>0.85000000000000142</v>
      </c>
      <c r="F29" s="78">
        <f t="shared" si="1"/>
        <v>1.5287769784172687E-2</v>
      </c>
    </row>
    <row r="30" spans="1:6" x14ac:dyDescent="0.25">
      <c r="A30" s="66">
        <v>21533</v>
      </c>
      <c r="B30" s="67">
        <v>13</v>
      </c>
      <c r="C30" s="68">
        <f>B30*Inventory_Model!E30</f>
        <v>55.949999999999996</v>
      </c>
      <c r="D30" s="68">
        <f>Inventory_Model!P30</f>
        <v>52.926841970417414</v>
      </c>
      <c r="E30" s="68">
        <f t="shared" si="2"/>
        <v>3.0231580295825822</v>
      </c>
      <c r="F30" s="78">
        <f t="shared" si="1"/>
        <v>5.4033208750358934E-2</v>
      </c>
    </row>
    <row r="31" spans="1:6" x14ac:dyDescent="0.25">
      <c r="A31" s="66">
        <v>22752</v>
      </c>
      <c r="B31" s="67">
        <v>6</v>
      </c>
      <c r="C31" s="68">
        <f>B31*Inventory_Model!E31</f>
        <v>45.900000000000006</v>
      </c>
      <c r="D31" s="68">
        <f>Inventory_Model!P31</f>
        <v>50.445979770443557</v>
      </c>
      <c r="E31" s="68">
        <f t="shared" si="2"/>
        <v>-4.5459797704435516</v>
      </c>
      <c r="F31" s="78">
        <f t="shared" si="1"/>
        <v>-9.904095360443467E-2</v>
      </c>
    </row>
    <row r="32" spans="1:6" x14ac:dyDescent="0.25">
      <c r="A32" s="66">
        <v>22464</v>
      </c>
      <c r="B32" s="67">
        <v>24</v>
      </c>
      <c r="C32" s="68">
        <f>B32*Inventory_Model!E32</f>
        <v>39.599999999999994</v>
      </c>
      <c r="D32" s="68">
        <f>Inventory_Model!P32</f>
        <v>48.93043531382078</v>
      </c>
      <c r="E32" s="68">
        <f t="shared" si="2"/>
        <v>-9.3304353138207858</v>
      </c>
      <c r="F32" s="78">
        <f t="shared" si="1"/>
        <v>-0.2356170533793128</v>
      </c>
    </row>
    <row r="33" spans="1:6" x14ac:dyDescent="0.25">
      <c r="A33" s="66">
        <v>22411</v>
      </c>
      <c r="B33" s="67">
        <v>20</v>
      </c>
      <c r="C33" s="68">
        <f>B33*Inventory_Model!E33</f>
        <v>39</v>
      </c>
      <c r="D33" s="68">
        <f>Inventory_Model!P33</f>
        <v>47.038880195004637</v>
      </c>
      <c r="E33" s="68">
        <f t="shared" si="2"/>
        <v>-8.0388801950046371</v>
      </c>
      <c r="F33" s="78">
        <f t="shared" si="1"/>
        <v>-0.20612513320524711</v>
      </c>
    </row>
    <row r="34" spans="1:6" x14ac:dyDescent="0.25">
      <c r="A34" s="66" t="s">
        <v>131</v>
      </c>
      <c r="B34" s="67">
        <v>7</v>
      </c>
      <c r="C34" s="68">
        <f>B34*Inventory_Model!E34</f>
        <v>37.35</v>
      </c>
      <c r="D34" s="68">
        <f>Inventory_Model!P34</f>
        <v>43.663805397442331</v>
      </c>
      <c r="E34" s="68">
        <f t="shared" si="2"/>
        <v>-6.31380539744233</v>
      </c>
      <c r="F34" s="78">
        <f t="shared" si="1"/>
        <v>-0.1690443212166621</v>
      </c>
    </row>
    <row r="35" spans="1:6" x14ac:dyDescent="0.25">
      <c r="A35" s="66">
        <v>21755</v>
      </c>
      <c r="B35" s="67">
        <v>6</v>
      </c>
      <c r="C35" s="68">
        <f>B35*Inventory_Model!E35</f>
        <v>35.700000000000003</v>
      </c>
      <c r="D35" s="68">
        <f>Inventory_Model!P35</f>
        <v>43.084763838275819</v>
      </c>
      <c r="E35" s="68">
        <f t="shared" si="2"/>
        <v>-7.3847638382758163</v>
      </c>
      <c r="F35" s="78">
        <f t="shared" si="1"/>
        <v>-0.20685612992369232</v>
      </c>
    </row>
    <row r="36" spans="1:6" x14ac:dyDescent="0.25">
      <c r="A36" s="66">
        <v>21754</v>
      </c>
      <c r="B36" s="67">
        <v>6</v>
      </c>
      <c r="C36" s="68">
        <f>B36*Inventory_Model!E36</f>
        <v>35.700000000000003</v>
      </c>
      <c r="D36" s="68">
        <f>Inventory_Model!P36</f>
        <v>43.084763838275819</v>
      </c>
      <c r="E36" s="68">
        <f t="shared" si="2"/>
        <v>-7.3847638382758163</v>
      </c>
      <c r="F36" s="78">
        <f t="shared" si="1"/>
        <v>-0.20685612992369232</v>
      </c>
    </row>
    <row r="37" spans="1:6" x14ac:dyDescent="0.25">
      <c r="A37" s="66" t="s">
        <v>147</v>
      </c>
      <c r="B37" s="67">
        <v>12</v>
      </c>
      <c r="C37" s="68">
        <f>B37*Inventory_Model!E37</f>
        <v>30.599999999999998</v>
      </c>
      <c r="D37" s="68">
        <f>Inventory_Model!P37</f>
        <v>40.110394538074544</v>
      </c>
      <c r="E37" s="68">
        <f t="shared" si="2"/>
        <v>-9.5103945380745465</v>
      </c>
      <c r="F37" s="78">
        <f t="shared" si="1"/>
        <v>-0.31079720712661918</v>
      </c>
    </row>
    <row r="38" spans="1:6" x14ac:dyDescent="0.25">
      <c r="A38" s="66">
        <v>82482</v>
      </c>
      <c r="B38" s="67">
        <v>12</v>
      </c>
      <c r="C38" s="68">
        <f>B38*Inventory_Model!E38</f>
        <v>25.200000000000003</v>
      </c>
      <c r="D38" s="68">
        <f>Inventory_Model!P38</f>
        <v>37.354718577443464</v>
      </c>
      <c r="E38" s="68">
        <f t="shared" si="2"/>
        <v>-12.154718577443461</v>
      </c>
      <c r="F38" s="78">
        <f t="shared" si="1"/>
        <v>-0.48233010227950235</v>
      </c>
    </row>
    <row r="39" spans="1:6" x14ac:dyDescent="0.25">
      <c r="A39" s="66">
        <v>82483</v>
      </c>
      <c r="B39" s="67">
        <v>4</v>
      </c>
      <c r="C39" s="68">
        <f>B39*Inventory_Model!E39</f>
        <v>19.8</v>
      </c>
      <c r="D39" s="68">
        <f>Inventory_Model!P39</f>
        <v>31.643028458098001</v>
      </c>
      <c r="E39" s="68">
        <f t="shared" si="2"/>
        <v>-11.843028458098001</v>
      </c>
      <c r="F39" s="78">
        <f t="shared" si="1"/>
        <v>-0.59813275040898994</v>
      </c>
    </row>
    <row r="40" spans="1:6" x14ac:dyDescent="0.25">
      <c r="A40" s="66">
        <v>37370</v>
      </c>
      <c r="B40" s="67">
        <v>12</v>
      </c>
      <c r="C40" s="68">
        <f>B40*Inventory_Model!E40</f>
        <v>12.72</v>
      </c>
      <c r="D40" s="68">
        <f>Inventory_Model!P40</f>
        <v>30.986045246207201</v>
      </c>
      <c r="E40" s="68">
        <f t="shared" si="2"/>
        <v>-18.266045246207199</v>
      </c>
      <c r="F40" s="78">
        <f t="shared" si="1"/>
        <v>-1.4360098463999369</v>
      </c>
    </row>
    <row r="41" spans="1:6" x14ac:dyDescent="0.25">
      <c r="A41" s="66">
        <v>21871</v>
      </c>
      <c r="B41" s="67">
        <v>12</v>
      </c>
      <c r="C41" s="68">
        <f>B41*Inventory_Model!E41</f>
        <v>12.72</v>
      </c>
      <c r="D41" s="68">
        <f>Inventory_Model!P41</f>
        <v>30.986045246207201</v>
      </c>
      <c r="E41" s="68">
        <f t="shared" si="2"/>
        <v>-18.266045246207199</v>
      </c>
      <c r="F41" s="78">
        <f t="shared" si="1"/>
        <v>-1.4360098463999369</v>
      </c>
    </row>
    <row r="42" spans="1:6" x14ac:dyDescent="0.25">
      <c r="A42" s="66">
        <v>21071</v>
      </c>
      <c r="B42" s="67">
        <v>12</v>
      </c>
      <c r="C42" s="68">
        <f>B42*Inventory_Model!E42</f>
        <v>12.72</v>
      </c>
      <c r="D42" s="68">
        <f>Inventory_Model!P42</f>
        <v>30.986045246207201</v>
      </c>
      <c r="E42" s="68">
        <f t="shared" si="2"/>
        <v>-18.266045246207199</v>
      </c>
      <c r="F42" s="78">
        <f t="shared" si="1"/>
        <v>-1.4360098463999369</v>
      </c>
    </row>
    <row r="43" spans="1:6" x14ac:dyDescent="0.25">
      <c r="A43" s="66">
        <v>21068</v>
      </c>
      <c r="B43" s="67">
        <v>12</v>
      </c>
      <c r="C43" s="68">
        <f>B43*Inventory_Model!E43</f>
        <v>12.72</v>
      </c>
      <c r="D43" s="68">
        <f>Inventory_Model!P43</f>
        <v>30.986045246207201</v>
      </c>
      <c r="E43" s="68">
        <f t="shared" si="2"/>
        <v>-18.266045246207199</v>
      </c>
      <c r="F43" s="78">
        <f t="shared" si="1"/>
        <v>-1.4360098463999369</v>
      </c>
    </row>
    <row r="44" spans="1:6" x14ac:dyDescent="0.25">
      <c r="A44" s="71">
        <v>71270</v>
      </c>
      <c r="B44" s="72">
        <v>4</v>
      </c>
      <c r="C44" s="73">
        <f>B44*Inventory_Model!E44</f>
        <v>5</v>
      </c>
      <c r="D44" s="73">
        <f>Inventory_Model!P44</f>
        <v>18.561553006146873</v>
      </c>
      <c r="E44" s="73">
        <f t="shared" si="2"/>
        <v>-13.561553006146873</v>
      </c>
      <c r="F44" s="78">
        <f t="shared" si="1"/>
        <v>-2.7123106012293747</v>
      </c>
    </row>
    <row r="45" spans="1:6" x14ac:dyDescent="0.25">
      <c r="C45" s="27"/>
      <c r="D45" s="27"/>
      <c r="E45" s="27"/>
    </row>
  </sheetData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Executive_Dashboard</vt:lpstr>
      <vt:lpstr>Assumptions_Sheet</vt:lpstr>
      <vt:lpstr>DataSetRaw</vt:lpstr>
      <vt:lpstr>SKUAnalysis</vt:lpstr>
      <vt:lpstr>Inventory_Model</vt:lpstr>
      <vt:lpstr>Baseline_EOQ_Analysis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christiaan ackermann</cp:lastModifiedBy>
  <cp:revision>5</cp:revision>
  <dcterms:modified xsi:type="dcterms:W3CDTF">2026-07-03T12:33:11Z</dcterms:modified>
</cp:coreProperties>
</file>